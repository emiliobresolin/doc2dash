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5" sheetId="1" r:id="rId5"/>
    <sheet state="visible" name="Fev 2025" sheetId="2" r:id="rId6"/>
    <sheet state="visible" name="Mar 2025" sheetId="3" r:id="rId7"/>
    <sheet state="visible" name="Apr 2025" sheetId="4" r:id="rId8"/>
    <sheet state="visible" name="May 2025" sheetId="5" r:id="rId9"/>
    <sheet state="visible" name="June 2025" sheetId="6" r:id="rId10"/>
    <sheet state="visible" name="July 2025" sheetId="7" r:id="rId11"/>
    <sheet state="visible" name="Aug 2025" sheetId="8" r:id="rId12"/>
    <sheet state="visible" name="Set 2025" sheetId="9" r:id="rId13"/>
    <sheet state="visible" name="Out 2025" sheetId="10" r:id="rId14"/>
    <sheet state="visible" name="Nov 2025" sheetId="11" r:id="rId15"/>
    <sheet state="visible" name="Dec 2025" sheetId="12" r:id="rId16"/>
    <sheet state="visible" name="Copy of Dec 2025" sheetId="13" r:id="rId17"/>
  </sheets>
  <definedNames/>
  <calcPr/>
</workbook>
</file>

<file path=xl/sharedStrings.xml><?xml version="1.0" encoding="utf-8"?>
<sst xmlns="http://schemas.openxmlformats.org/spreadsheetml/2006/main" count="929" uniqueCount="130">
  <si>
    <t>Orçamento pessoal mensal</t>
  </si>
  <si>
    <t>RENDA MENSAL REAL</t>
  </si>
  <si>
    <t>Vale Alimentação</t>
  </si>
  <si>
    <t>Extraordinário:</t>
  </si>
  <si>
    <t>ObjectEdge Salary</t>
  </si>
  <si>
    <t>R$5400FERIAS</t>
  </si>
  <si>
    <t xml:space="preserve">DESPESA TOTAL REAL </t>
  </si>
  <si>
    <t>Soma TOTAL</t>
  </si>
  <si>
    <t>Rent from Santana AP</t>
  </si>
  <si>
    <t>R$820OEPREM</t>
  </si>
  <si>
    <t>Sobra do Mês</t>
  </si>
  <si>
    <t>Renda mensal total</t>
  </si>
  <si>
    <t>GASTOS MENSAIS</t>
  </si>
  <si>
    <t>Custo previsto</t>
  </si>
  <si>
    <t>Custo Real</t>
  </si>
  <si>
    <t>Diferença</t>
  </si>
  <si>
    <t>GASTOS DIARIOS</t>
  </si>
  <si>
    <t>Custo</t>
  </si>
  <si>
    <t>Modelo</t>
  </si>
  <si>
    <t>Detalhe</t>
  </si>
  <si>
    <t>Dividas mes passado</t>
  </si>
  <si>
    <t>Agua+Suco</t>
  </si>
  <si>
    <t>DEBITO</t>
  </si>
  <si>
    <t>Mercado</t>
  </si>
  <si>
    <t>Financiamento</t>
  </si>
  <si>
    <t>Letícia Comida Cachorro</t>
  </si>
  <si>
    <t>PIX</t>
  </si>
  <si>
    <t>Leticia</t>
  </si>
  <si>
    <t>Condominio Dom Pedro II</t>
  </si>
  <si>
    <t>uber</t>
  </si>
  <si>
    <t>Transporte</t>
  </si>
  <si>
    <t>Condominio Santana</t>
  </si>
  <si>
    <t>zafari comida</t>
  </si>
  <si>
    <t>Luz</t>
  </si>
  <si>
    <t>Internet</t>
  </si>
  <si>
    <t>posto energetico</t>
  </si>
  <si>
    <t>Cartão de Credito</t>
  </si>
  <si>
    <t xml:space="preserve">bom burger </t>
  </si>
  <si>
    <t>Restaurante</t>
  </si>
  <si>
    <t>Celular Claro</t>
  </si>
  <si>
    <t>Celular Vivo</t>
  </si>
  <si>
    <t>Renner regata</t>
  </si>
  <si>
    <t>Roupa</t>
  </si>
  <si>
    <t>IPTU Dom Pedro</t>
  </si>
  <si>
    <t>bebidas</t>
  </si>
  <si>
    <t>Transporte Helena</t>
  </si>
  <si>
    <t>macdonalds</t>
  </si>
  <si>
    <t>Tom Weed</t>
  </si>
  <si>
    <t>Alimentação</t>
  </si>
  <si>
    <t>comida/bebida ida praia</t>
  </si>
  <si>
    <t>Renegociação Carrefour</t>
  </si>
  <si>
    <t>mercado praia</t>
  </si>
  <si>
    <t>Outros</t>
  </si>
  <si>
    <t>Total</t>
  </si>
  <si>
    <t>toalhas praia</t>
  </si>
  <si>
    <t>COMIDA</t>
  </si>
  <si>
    <t>Padaria Semana 1</t>
  </si>
  <si>
    <t>Praia R$ 82</t>
  </si>
  <si>
    <t>utensilhos para praia</t>
  </si>
  <si>
    <t>Utensilhos</t>
  </si>
  <si>
    <t>Padaria Semana 2</t>
  </si>
  <si>
    <t>Praia R$ 140</t>
  </si>
  <si>
    <t>extensão para praia</t>
  </si>
  <si>
    <t>Padaria Semana 3</t>
  </si>
  <si>
    <t>quiosque praia</t>
  </si>
  <si>
    <t>Padaria Semana 4</t>
  </si>
  <si>
    <t>Ifood 1</t>
  </si>
  <si>
    <t>Ifood 2</t>
  </si>
  <si>
    <t>gel limpador</t>
  </si>
  <si>
    <t>Co-Working Lunch 1</t>
  </si>
  <si>
    <t>Co-Working Lunch 2</t>
  </si>
  <si>
    <t>Praia Almoço R$ 123</t>
  </si>
  <si>
    <t>almoço praia</t>
  </si>
  <si>
    <t>thedevilwonforthelasttime</t>
  </si>
  <si>
    <t>Shame</t>
  </si>
  <si>
    <t>gasolina praia</t>
  </si>
  <si>
    <t>Gasolina</t>
  </si>
  <si>
    <t>almoço e janta praia eder</t>
  </si>
  <si>
    <t>pedagio praia</t>
  </si>
  <si>
    <t>uber depois da localiza</t>
  </si>
  <si>
    <t>Pizza Laura</t>
  </si>
  <si>
    <t>uber ate infopoint</t>
  </si>
  <si>
    <t>uber até em casa</t>
  </si>
  <si>
    <t>bebida</t>
  </si>
  <si>
    <t>capa celular</t>
  </si>
  <si>
    <t>janta</t>
  </si>
  <si>
    <t>bebida chocolate</t>
  </si>
  <si>
    <t>Investimentos CDB</t>
  </si>
  <si>
    <t>COMIDA/TRANSPORTE</t>
  </si>
  <si>
    <t>Uber</t>
  </si>
  <si>
    <t>Cartão de Credito Helena</t>
  </si>
  <si>
    <t>CC Helena</t>
  </si>
  <si>
    <t>cafe</t>
  </si>
  <si>
    <t>credito</t>
  </si>
  <si>
    <t>comida</t>
  </si>
  <si>
    <t>lanche</t>
  </si>
  <si>
    <t>uber leticia</t>
  </si>
  <si>
    <t>debito</t>
  </si>
  <si>
    <t>Letícia</t>
  </si>
  <si>
    <t>café</t>
  </si>
  <si>
    <t>charuto whysk</t>
  </si>
  <si>
    <t>álcool</t>
  </si>
  <si>
    <t>ceva</t>
  </si>
  <si>
    <t>wasteofmoney</t>
  </si>
  <si>
    <t>pix</t>
  </si>
  <si>
    <t>shame</t>
  </si>
  <si>
    <t>transporte</t>
  </si>
  <si>
    <t xml:space="preserve">uber </t>
  </si>
  <si>
    <t>piscina campeonato natação</t>
  </si>
  <si>
    <t>taxa</t>
  </si>
  <si>
    <t>tom</t>
  </si>
  <si>
    <t>shoarman</t>
  </si>
  <si>
    <t>ifood</t>
  </si>
  <si>
    <t>almoço</t>
  </si>
  <si>
    <t>Uber CoWorking</t>
  </si>
  <si>
    <t>shoopee</t>
  </si>
  <si>
    <t>almoço com Helena</t>
  </si>
  <si>
    <t>uber volta</t>
  </si>
  <si>
    <t>expointer</t>
  </si>
  <si>
    <t>hogartz legends</t>
  </si>
  <si>
    <t>game</t>
  </si>
  <si>
    <t>formatura Fritz Uber</t>
  </si>
  <si>
    <t>formatura amigo leticia</t>
  </si>
  <si>
    <t>festa</t>
  </si>
  <si>
    <t>Helena Atividade Extra Curricular</t>
  </si>
  <si>
    <t>transporte porto</t>
  </si>
  <si>
    <t>Debito</t>
  </si>
  <si>
    <t>AirBnB</t>
  </si>
  <si>
    <t>Credito</t>
  </si>
  <si>
    <t>6k+1.4k premio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</si>
</sst>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30.0"/>
      <color rgb="FF2F4158"/>
      <name val="Montserrat"/>
    </font>
    <font/>
    <font>
      <color theme="1"/>
      <name val="Montserrat"/>
    </font>
    <font>
      <b/>
      <color rgb="FFD0DE4E"/>
      <name val="Montserrat"/>
    </font>
    <font>
      <color rgb="FF333333"/>
      <name val="Montserrat"/>
    </font>
    <font>
      <b/>
      <sz val="10.0"/>
      <color rgb="FFD0DE4E"/>
      <name val="Montserrat"/>
    </font>
    <font>
      <b/>
      <sz val="10.0"/>
      <color rgb="FF2F4158"/>
      <name val="Montserrat"/>
    </font>
    <font>
      <sz val="10.0"/>
      <color rgb="FF333333"/>
      <name val="Montserrat"/>
    </font>
    <font>
      <b/>
      <sz val="10.0"/>
      <color rgb="FF333333"/>
      <name val="Montserrat"/>
    </font>
    <font>
      <b/>
      <color rgb="FF333333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D0DE4E"/>
        <bgColor rgb="FFD0DE4E"/>
      </patternFill>
    </fill>
    <fill>
      <patternFill patternType="solid">
        <fgColor rgb="FF2F4158"/>
        <bgColor rgb="FF2F4158"/>
      </patternFill>
    </fill>
    <fill>
      <patternFill patternType="solid">
        <fgColor rgb="FFF4CCCC"/>
        <bgColor rgb="FFF4CCCC"/>
      </patternFill>
    </fill>
    <fill>
      <patternFill patternType="solid">
        <fgColor rgb="FFB0C9A9"/>
        <bgColor rgb="FFB0C9A9"/>
      </patternFill>
    </fill>
    <fill>
      <patternFill patternType="solid">
        <fgColor rgb="FFD7E4D4"/>
        <bgColor rgb="FFD7E4D4"/>
      </patternFill>
    </fill>
    <fill>
      <patternFill patternType="solid">
        <fgColor rgb="FFA4C2F4"/>
        <bgColor rgb="FFA4C2F4"/>
      </patternFill>
    </fill>
    <fill>
      <patternFill patternType="solid">
        <fgColor rgb="FFF2F2F2"/>
        <bgColor rgb="FFF2F2F2"/>
      </patternFill>
    </fill>
  </fills>
  <borders count="11">
    <border/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Font="1"/>
    <xf borderId="4" fillId="3" fontId="4" numFmtId="0" xfId="0" applyBorder="1" applyFill="1" applyFont="1"/>
    <xf borderId="5" fillId="4" fontId="3" numFmtId="0" xfId="0" applyAlignment="1" applyBorder="1" applyFill="1" applyFont="1">
      <alignment readingOrder="0"/>
    </xf>
    <xf borderId="6" fillId="0" fontId="2" numFmtId="0" xfId="0" applyBorder="1" applyFont="1"/>
    <xf borderId="7" fillId="4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8" fillId="0" fontId="2" numFmtId="0" xfId="0" applyBorder="1" applyFont="1"/>
    <xf borderId="5" fillId="5" fontId="5" numFmtId="0" xfId="0" applyAlignment="1" applyBorder="1" applyFill="1" applyFont="1">
      <alignment readingOrder="0" shrinkToFit="0" wrapText="1"/>
    </xf>
    <xf borderId="7" fillId="5" fontId="5" numFmtId="164" xfId="0" applyAlignment="1" applyBorder="1" applyFont="1" applyNumberFormat="1">
      <alignment readingOrder="0"/>
    </xf>
    <xf borderId="7" fillId="3" fontId="6" numFmtId="0" xfId="0" applyBorder="1" applyFont="1"/>
    <xf borderId="5" fillId="6" fontId="7" numFmtId="0" xfId="0" applyAlignment="1" applyBorder="1" applyFill="1" applyFont="1">
      <alignment readingOrder="0"/>
    </xf>
    <xf borderId="7" fillId="6" fontId="8" numFmtId="164" xfId="0" applyBorder="1" applyFont="1" applyNumberFormat="1"/>
    <xf borderId="5" fillId="7" fontId="5" numFmtId="0" xfId="0" applyAlignment="1" applyBorder="1" applyFill="1" applyFont="1">
      <alignment readingOrder="0" shrinkToFit="0" wrapText="1"/>
    </xf>
    <xf borderId="7" fillId="7" fontId="5" numFmtId="164" xfId="0" applyAlignment="1" applyBorder="1" applyFont="1" applyNumberFormat="1">
      <alignment readingOrder="0"/>
    </xf>
    <xf borderId="5" fillId="8" fontId="7" numFmtId="0" xfId="0" applyAlignment="1" applyBorder="1" applyFill="1" applyFont="1">
      <alignment horizontal="right" readingOrder="0"/>
    </xf>
    <xf borderId="9" fillId="0" fontId="2" numFmtId="0" xfId="0" applyBorder="1" applyFont="1"/>
    <xf borderId="7" fillId="8" fontId="9" numFmtId="164" xfId="0" applyBorder="1" applyFont="1" applyNumberFormat="1"/>
    <xf borderId="10" fillId="0" fontId="2" numFmtId="0" xfId="0" applyBorder="1" applyFont="1"/>
    <xf borderId="5" fillId="8" fontId="10" numFmtId="0" xfId="0" applyAlignment="1" applyBorder="1" applyFont="1">
      <alignment shrinkToFit="0" wrapText="1"/>
    </xf>
    <xf borderId="7" fillId="8" fontId="10" numFmtId="164" xfId="0" applyBorder="1" applyFont="1" applyNumberFormat="1"/>
    <xf borderId="7" fillId="3" fontId="4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164" xfId="0" applyAlignment="1" applyBorder="1" applyFont="1" applyNumberFormat="1">
      <alignment readingOrder="0"/>
    </xf>
    <xf borderId="7" fillId="0" fontId="3" numFmtId="164" xfId="0" applyBorder="1" applyFont="1" applyNumberFormat="1"/>
    <xf borderId="7" fillId="3" fontId="4" numFmtId="164" xfId="0" applyAlignment="1" applyBorder="1" applyFont="1" applyNumberFormat="1">
      <alignment readingOrder="0"/>
    </xf>
    <xf borderId="7" fillId="0" fontId="3" numFmtId="0" xfId="0" applyBorder="1" applyFont="1"/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2">
    <dxf>
      <font>
        <b/>
        <color rgb="FF990000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'Jan 2025'!$K$14</c:f>
            </c:strRef>
          </c:cat>
          <c:val>
            <c:numRef>
              <c:f>'Jan 2025'!$B$63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'Jan 2025'!$K$14</c:f>
            </c:strRef>
          </c:cat>
          <c:val>
            <c:numRef>
              <c:f>'Jan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'Jan 2025'!$K$14</c:f>
            </c:strRef>
          </c:cat>
          <c:val>
            <c:numRef>
              <c:f>'Jan 2025'!$H$24</c:f>
              <c:numCache/>
            </c:numRef>
          </c:val>
        </c:ser>
        <c:ser>
          <c:idx val="3"/>
          <c:order val="3"/>
          <c:cat>
            <c:strRef>
              <c:f>'Jan 2025'!$K$14</c:f>
            </c:strRef>
          </c:cat>
          <c:val>
            <c:numRef>
              <c:f>'Jan 2025'!$F$7</c:f>
              <c:numCache/>
            </c:numRef>
          </c:val>
        </c:ser>
        <c:ser>
          <c:idx val="4"/>
          <c:order val="4"/>
          <c:cat>
            <c:strRef>
              <c:f>'Jan 2025'!$K$14</c:f>
            </c:strRef>
          </c:cat>
          <c:val>
            <c:numRef>
              <c:f>'Jan 2025'!$H$39</c:f>
              <c:numCache/>
            </c:numRef>
          </c:val>
        </c:ser>
        <c:ser>
          <c:idx val="5"/>
          <c:order val="5"/>
          <c:cat>
            <c:strRef>
              <c:f>'Jan 2025'!$K$14</c:f>
            </c:strRef>
          </c:cat>
          <c:val>
            <c:numRef>
              <c:f>'Jan 2025'!$F$26</c:f>
              <c:numCache/>
            </c:numRef>
          </c:val>
        </c:ser>
        <c:axId val="2071028596"/>
        <c:axId val="865747867"/>
      </c:bar3DChart>
      <c:catAx>
        <c:axId val="2071028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747867"/>
      </c:catAx>
      <c:valAx>
        <c:axId val="865747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02859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'Fev 2025'!$K$14</c:f>
            </c:strRef>
          </c:cat>
          <c:val>
            <c:numRef>
              <c:f>'Fev 2025'!$B$63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'Fev 2025'!$K$14</c:f>
            </c:strRef>
          </c:cat>
          <c:val>
            <c:numRef>
              <c:f>'Fev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'Fev 2025'!$K$14</c:f>
            </c:strRef>
          </c:cat>
          <c:val>
            <c:numRef>
              <c:f>'Fev 2025'!$H$24</c:f>
              <c:numCache/>
            </c:numRef>
          </c:val>
        </c:ser>
        <c:ser>
          <c:idx val="3"/>
          <c:order val="3"/>
          <c:cat>
            <c:strRef>
              <c:f>'Fev 2025'!$K$14</c:f>
            </c:strRef>
          </c:cat>
          <c:val>
            <c:numRef>
              <c:f>'Fev 2025'!$F$7</c:f>
              <c:numCache/>
            </c:numRef>
          </c:val>
        </c:ser>
        <c:ser>
          <c:idx val="4"/>
          <c:order val="4"/>
          <c:cat>
            <c:strRef>
              <c:f>'Fev 2025'!$K$14</c:f>
            </c:strRef>
          </c:cat>
          <c:val>
            <c:numRef>
              <c:f>'Fev 2025'!$H$39</c:f>
              <c:numCache/>
            </c:numRef>
          </c:val>
        </c:ser>
        <c:ser>
          <c:idx val="5"/>
          <c:order val="5"/>
          <c:cat>
            <c:strRef>
              <c:f>'Fev 2025'!$K$14</c:f>
            </c:strRef>
          </c:cat>
          <c:val>
            <c:numRef>
              <c:f>'Fev 2025'!$F$26</c:f>
              <c:numCache/>
            </c:numRef>
          </c:val>
        </c:ser>
        <c:axId val="2138722604"/>
        <c:axId val="1706145662"/>
      </c:bar3DChart>
      <c:catAx>
        <c:axId val="2138722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145662"/>
      </c:catAx>
      <c:valAx>
        <c:axId val="1706145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72260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 2025'!$K$14</c:f>
            </c:strRef>
          </c:cat>
          <c:val>
            <c:numRef>
              <c:f>'Mar 2025'!$B$63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 2025'!$K$14</c:f>
            </c:strRef>
          </c:cat>
          <c:val>
            <c:numRef>
              <c:f>'Mar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'Mar 2025'!$K$14</c:f>
            </c:strRef>
          </c:cat>
          <c:val>
            <c:numRef>
              <c:f>'Mar 2025'!$H$24</c:f>
              <c:numCache/>
            </c:numRef>
          </c:val>
        </c:ser>
        <c:ser>
          <c:idx val="3"/>
          <c:order val="3"/>
          <c:cat>
            <c:strRef>
              <c:f>'Mar 2025'!$K$14</c:f>
            </c:strRef>
          </c:cat>
          <c:val>
            <c:numRef>
              <c:f>'Mar 2025'!$F$7</c:f>
              <c:numCache/>
            </c:numRef>
          </c:val>
        </c:ser>
        <c:ser>
          <c:idx val="4"/>
          <c:order val="4"/>
          <c:cat>
            <c:strRef>
              <c:f>'Mar 2025'!$K$14</c:f>
            </c:strRef>
          </c:cat>
          <c:val>
            <c:numRef>
              <c:f>'Mar 2025'!$H$39</c:f>
              <c:numCache/>
            </c:numRef>
          </c:val>
        </c:ser>
        <c:ser>
          <c:idx val="5"/>
          <c:order val="5"/>
          <c:cat>
            <c:strRef>
              <c:f>'Mar 2025'!$K$14</c:f>
            </c:strRef>
          </c:cat>
          <c:val>
            <c:numRef>
              <c:f>'Mar 2025'!$F$26</c:f>
              <c:numCache/>
            </c:numRef>
          </c:val>
        </c:ser>
        <c:axId val="883537892"/>
        <c:axId val="1581657179"/>
      </c:bar3DChart>
      <c:catAx>
        <c:axId val="883537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57179"/>
      </c:catAx>
      <c:valAx>
        <c:axId val="1581657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53789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'Apr 2025'!$K$14</c:f>
            </c:strRef>
          </c:cat>
          <c:val>
            <c:numRef>
              <c:f>'Apr 2025'!$B$63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'Apr 2025'!$K$14</c:f>
            </c:strRef>
          </c:cat>
          <c:val>
            <c:numRef>
              <c:f>'Apr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'Apr 2025'!$K$14</c:f>
            </c:strRef>
          </c:cat>
          <c:val>
            <c:numRef>
              <c:f>'Apr 2025'!$H$24</c:f>
              <c:numCache/>
            </c:numRef>
          </c:val>
        </c:ser>
        <c:ser>
          <c:idx val="3"/>
          <c:order val="3"/>
          <c:cat>
            <c:strRef>
              <c:f>'Apr 2025'!$K$14</c:f>
            </c:strRef>
          </c:cat>
          <c:val>
            <c:numRef>
              <c:f>'Apr 2025'!$F$7</c:f>
              <c:numCache/>
            </c:numRef>
          </c:val>
        </c:ser>
        <c:ser>
          <c:idx val="4"/>
          <c:order val="4"/>
          <c:cat>
            <c:strRef>
              <c:f>'Apr 2025'!$K$14</c:f>
            </c:strRef>
          </c:cat>
          <c:val>
            <c:numRef>
              <c:f>'Apr 2025'!$H$39</c:f>
              <c:numCache/>
            </c:numRef>
          </c:val>
        </c:ser>
        <c:ser>
          <c:idx val="5"/>
          <c:order val="5"/>
          <c:cat>
            <c:strRef>
              <c:f>'Apr 2025'!$K$14</c:f>
            </c:strRef>
          </c:cat>
          <c:val>
            <c:numRef>
              <c:f>'Apr 2025'!$F$26</c:f>
              <c:numCache/>
            </c:numRef>
          </c:val>
        </c:ser>
        <c:axId val="1065376774"/>
        <c:axId val="348308314"/>
      </c:bar3DChart>
      <c:catAx>
        <c:axId val="1065376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308314"/>
      </c:catAx>
      <c:valAx>
        <c:axId val="348308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37677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'May 2025'!$K$14</c:f>
            </c:strRef>
          </c:cat>
          <c:val>
            <c:numRef>
              <c:f>'May 2025'!$B$63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'May 2025'!$K$14</c:f>
            </c:strRef>
          </c:cat>
          <c:val>
            <c:numRef>
              <c:f>'May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'May 2025'!$K$14</c:f>
            </c:strRef>
          </c:cat>
          <c:val>
            <c:numRef>
              <c:f>'May 2025'!$H$24</c:f>
              <c:numCache/>
            </c:numRef>
          </c:val>
        </c:ser>
        <c:ser>
          <c:idx val="3"/>
          <c:order val="3"/>
          <c:cat>
            <c:strRef>
              <c:f>'May 2025'!$K$14</c:f>
            </c:strRef>
          </c:cat>
          <c:val>
            <c:numRef>
              <c:f>'May 2025'!$F$7</c:f>
              <c:numCache/>
            </c:numRef>
          </c:val>
        </c:ser>
        <c:ser>
          <c:idx val="4"/>
          <c:order val="4"/>
          <c:cat>
            <c:strRef>
              <c:f>'May 2025'!$K$14</c:f>
            </c:strRef>
          </c:cat>
          <c:val>
            <c:numRef>
              <c:f>'May 2025'!$H$39</c:f>
              <c:numCache/>
            </c:numRef>
          </c:val>
        </c:ser>
        <c:ser>
          <c:idx val="5"/>
          <c:order val="5"/>
          <c:cat>
            <c:strRef>
              <c:f>'May 2025'!$K$14</c:f>
            </c:strRef>
          </c:cat>
          <c:val>
            <c:numRef>
              <c:f>'May 2025'!$F$26</c:f>
              <c:numCache/>
            </c:numRef>
          </c:val>
        </c:ser>
        <c:axId val="406050102"/>
        <c:axId val="1142880848"/>
      </c:bar3DChart>
      <c:catAx>
        <c:axId val="406050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880848"/>
      </c:catAx>
      <c:valAx>
        <c:axId val="1142880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05010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'June 2025'!$K$14</c:f>
            </c:strRef>
          </c:cat>
          <c:val>
            <c:numRef>
              <c:f>'June 2025'!$B$64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'June 2025'!$K$14</c:f>
            </c:strRef>
          </c:cat>
          <c:val>
            <c:numRef>
              <c:f>'June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'June 2025'!$K$14</c:f>
            </c:strRef>
          </c:cat>
          <c:val>
            <c:numRef>
              <c:f>'June 2025'!$H$25</c:f>
              <c:numCache/>
            </c:numRef>
          </c:val>
        </c:ser>
        <c:ser>
          <c:idx val="3"/>
          <c:order val="3"/>
          <c:cat>
            <c:strRef>
              <c:f>'June 2025'!$K$14</c:f>
            </c:strRef>
          </c:cat>
          <c:val>
            <c:numRef>
              <c:f>'June 2025'!$F$7</c:f>
              <c:numCache/>
            </c:numRef>
          </c:val>
        </c:ser>
        <c:ser>
          <c:idx val="4"/>
          <c:order val="4"/>
          <c:cat>
            <c:strRef>
              <c:f>'June 2025'!$K$14</c:f>
            </c:strRef>
          </c:cat>
          <c:val>
            <c:numRef>
              <c:f>'June 2025'!$H$40</c:f>
              <c:numCache/>
            </c:numRef>
          </c:val>
        </c:ser>
        <c:ser>
          <c:idx val="5"/>
          <c:order val="5"/>
          <c:cat>
            <c:strRef>
              <c:f>'June 2025'!$K$14</c:f>
            </c:strRef>
          </c:cat>
          <c:val>
            <c:numRef>
              <c:f>'June 2025'!$F$27</c:f>
              <c:numCache/>
            </c:numRef>
          </c:val>
        </c:ser>
        <c:axId val="962590016"/>
        <c:axId val="597746100"/>
      </c:bar3DChart>
      <c:catAx>
        <c:axId val="96259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746100"/>
      </c:catAx>
      <c:valAx>
        <c:axId val="597746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59001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'July 2025'!$K$14</c:f>
            </c:strRef>
          </c:cat>
          <c:val>
            <c:numRef>
              <c:f>'July 2025'!$B$64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'July 2025'!$K$14</c:f>
            </c:strRef>
          </c:cat>
          <c:val>
            <c:numRef>
              <c:f>'July 2025'!$A$8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'July 2025'!$K$14</c:f>
            </c:strRef>
          </c:cat>
          <c:val>
            <c:numRef>
              <c:f>'July 2025'!$H$25</c:f>
              <c:numCache/>
            </c:numRef>
          </c:val>
        </c:ser>
        <c:ser>
          <c:idx val="3"/>
          <c:order val="3"/>
          <c:cat>
            <c:strRef>
              <c:f>'July 2025'!$K$14</c:f>
            </c:strRef>
          </c:cat>
          <c:val>
            <c:numRef>
              <c:f>'July 2025'!$F$7</c:f>
              <c:numCache/>
            </c:numRef>
          </c:val>
        </c:ser>
        <c:ser>
          <c:idx val="4"/>
          <c:order val="4"/>
          <c:cat>
            <c:strRef>
              <c:f>'July 2025'!$K$14</c:f>
            </c:strRef>
          </c:cat>
          <c:val>
            <c:numRef>
              <c:f>'July 2025'!$H$40</c:f>
              <c:numCache/>
            </c:numRef>
          </c:val>
        </c:ser>
        <c:ser>
          <c:idx val="5"/>
          <c:order val="5"/>
          <c:cat>
            <c:strRef>
              <c:f>'July 2025'!$K$14</c:f>
            </c:strRef>
          </c:cat>
          <c:val>
            <c:numRef>
              <c:f>'July 2025'!$F$27</c:f>
              <c:numCache/>
            </c:numRef>
          </c:val>
        </c:ser>
        <c:axId val="976788516"/>
        <c:axId val="728082388"/>
      </c:bar3DChart>
      <c:catAx>
        <c:axId val="976788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082388"/>
      </c:catAx>
      <c:valAx>
        <c:axId val="728082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78851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'Aug 2025'!$K$14</c:f>
            </c:strRef>
          </c:cat>
          <c:val>
            <c:numRef>
              <c:f>'Aug 2025'!$B$64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'Aug 2025'!$K$14</c:f>
            </c:strRef>
          </c:cat>
          <c:val>
            <c:numRef>
              <c:f>'Aug 2025'!$A$8:$A$28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'Aug 2025'!$K$14</c:f>
            </c:strRef>
          </c:cat>
          <c:val>
            <c:numRef>
              <c:f>'Aug 2025'!$H$25</c:f>
              <c:numCache/>
            </c:numRef>
          </c:val>
        </c:ser>
        <c:ser>
          <c:idx val="3"/>
          <c:order val="3"/>
          <c:cat>
            <c:strRef>
              <c:f>'Aug 2025'!$K$14</c:f>
            </c:strRef>
          </c:cat>
          <c:val>
            <c:numRef>
              <c:f>'Aug 2025'!$F$7</c:f>
              <c:numCache/>
            </c:numRef>
          </c:val>
        </c:ser>
        <c:ser>
          <c:idx val="4"/>
          <c:order val="4"/>
          <c:cat>
            <c:strRef>
              <c:f>'Aug 2025'!$K$14</c:f>
            </c:strRef>
          </c:cat>
          <c:val>
            <c:numRef>
              <c:f>'Aug 2025'!$H$40</c:f>
              <c:numCache/>
            </c:numRef>
          </c:val>
        </c:ser>
        <c:ser>
          <c:idx val="5"/>
          <c:order val="5"/>
          <c:cat>
            <c:strRef>
              <c:f>'Aug 2025'!$K$14</c:f>
            </c:strRef>
          </c:cat>
          <c:val>
            <c:numRef>
              <c:f>'Aug 2025'!$F$27</c:f>
              <c:numCache/>
            </c:numRef>
          </c:val>
        </c:ser>
        <c:axId val="1991066869"/>
        <c:axId val="1445311361"/>
      </c:bar3DChart>
      <c:catAx>
        <c:axId val="1991066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311361"/>
      </c:catAx>
      <c:valAx>
        <c:axId val="1445311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06686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'Set 2025'!$K$14</c:f>
            </c:strRef>
          </c:cat>
          <c:val>
            <c:numRef>
              <c:f>'Set 2025'!$B$64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'Set 2025'!$K$14</c:f>
            </c:strRef>
          </c:cat>
          <c:val>
            <c:numRef>
              <c:f>'Set 2025'!$A$8:$A$28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'Set 2025'!$K$14</c:f>
            </c:strRef>
          </c:cat>
          <c:val>
            <c:numRef>
              <c:f>'Set 2025'!$H$25</c:f>
              <c:numCache/>
            </c:numRef>
          </c:val>
        </c:ser>
        <c:ser>
          <c:idx val="3"/>
          <c:order val="3"/>
          <c:cat>
            <c:strRef>
              <c:f>'Set 2025'!$K$14</c:f>
            </c:strRef>
          </c:cat>
          <c:val>
            <c:numRef>
              <c:f>'Set 2025'!$F$7</c:f>
              <c:numCache/>
            </c:numRef>
          </c:val>
        </c:ser>
        <c:ser>
          <c:idx val="4"/>
          <c:order val="4"/>
          <c:cat>
            <c:strRef>
              <c:f>'Set 2025'!$K$14</c:f>
            </c:strRef>
          </c:cat>
          <c:val>
            <c:numRef>
              <c:f>'Set 2025'!$H$40</c:f>
              <c:numCache/>
            </c:numRef>
          </c:val>
        </c:ser>
        <c:ser>
          <c:idx val="5"/>
          <c:order val="5"/>
          <c:cat>
            <c:strRef>
              <c:f>'Set 2025'!$K$14</c:f>
            </c:strRef>
          </c:cat>
          <c:val>
            <c:numRef>
              <c:f>'Set 2025'!$F$27</c:f>
              <c:numCache/>
            </c:numRef>
          </c:val>
        </c:ser>
        <c:axId val="366307346"/>
        <c:axId val="714373801"/>
      </c:bar3DChart>
      <c:catAx>
        <c:axId val="366307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373801"/>
      </c:catAx>
      <c:valAx>
        <c:axId val="714373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307346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'Out 2025'!$K$14</c:f>
            </c:strRef>
          </c:cat>
          <c:val>
            <c:numRef>
              <c:f>'Out 2025'!$B$65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'Out 2025'!$K$14</c:f>
            </c:strRef>
          </c:cat>
          <c:val>
            <c:numRef>
              <c:f>'Out 2025'!$A$8:$A$29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'Out 2025'!$K$14</c:f>
            </c:strRef>
          </c:cat>
          <c:val>
            <c:numRef>
              <c:f>'Out 2025'!$H$26</c:f>
              <c:numCache/>
            </c:numRef>
          </c:val>
        </c:ser>
        <c:ser>
          <c:idx val="3"/>
          <c:order val="3"/>
          <c:cat>
            <c:strRef>
              <c:f>'Out 2025'!$K$14</c:f>
            </c:strRef>
          </c:cat>
          <c:val>
            <c:numRef>
              <c:f>'Out 2025'!$F$7</c:f>
              <c:numCache/>
            </c:numRef>
          </c:val>
        </c:ser>
        <c:ser>
          <c:idx val="4"/>
          <c:order val="4"/>
          <c:cat>
            <c:strRef>
              <c:f>'Out 2025'!$K$14</c:f>
            </c:strRef>
          </c:cat>
          <c:val>
            <c:numRef>
              <c:f>'Out 2025'!$H$41</c:f>
              <c:numCache/>
            </c:numRef>
          </c:val>
        </c:ser>
        <c:ser>
          <c:idx val="5"/>
          <c:order val="5"/>
          <c:cat>
            <c:strRef>
              <c:f>'Out 2025'!$K$14</c:f>
            </c:strRef>
          </c:cat>
          <c:val>
            <c:numRef>
              <c:f>'Out 2025'!$F$28</c:f>
              <c:numCache/>
            </c:numRef>
          </c:val>
        </c:ser>
        <c:axId val="408258081"/>
        <c:axId val="841301246"/>
      </c:bar3DChart>
      <c:catAx>
        <c:axId val="408258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301246"/>
      </c:catAx>
      <c:valAx>
        <c:axId val="841301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258081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'Nov 2025'!$K$14</c:f>
            </c:strRef>
          </c:cat>
          <c:val>
            <c:numRef>
              <c:f>'Nov 2025'!$B$65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'Nov 2025'!$K$14</c:f>
            </c:strRef>
          </c:cat>
          <c:val>
            <c:numRef>
              <c:f>'Nov 2025'!$A$8:$A$29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'Nov 2025'!$K$14</c:f>
            </c:strRef>
          </c:cat>
          <c:val>
            <c:numRef>
              <c:f>'Nov 2025'!$H$26</c:f>
              <c:numCache/>
            </c:numRef>
          </c:val>
        </c:ser>
        <c:ser>
          <c:idx val="3"/>
          <c:order val="3"/>
          <c:cat>
            <c:strRef>
              <c:f>'Nov 2025'!$K$14</c:f>
            </c:strRef>
          </c:cat>
          <c:val>
            <c:numRef>
              <c:f>'Nov 2025'!$F$7</c:f>
              <c:numCache/>
            </c:numRef>
          </c:val>
        </c:ser>
        <c:ser>
          <c:idx val="4"/>
          <c:order val="4"/>
          <c:cat>
            <c:strRef>
              <c:f>'Nov 2025'!$K$14</c:f>
            </c:strRef>
          </c:cat>
          <c:val>
            <c:numRef>
              <c:f>'Nov 2025'!$H$41</c:f>
              <c:numCache/>
            </c:numRef>
          </c:val>
        </c:ser>
        <c:ser>
          <c:idx val="5"/>
          <c:order val="5"/>
          <c:cat>
            <c:strRef>
              <c:f>'Nov 2025'!$K$14</c:f>
            </c:strRef>
          </c:cat>
          <c:val>
            <c:numRef>
              <c:f>'Nov 2025'!$F$28</c:f>
              <c:numCache/>
            </c:numRef>
          </c:val>
        </c:ser>
        <c:axId val="759678832"/>
        <c:axId val="627766312"/>
      </c:bar3DChart>
      <c:catAx>
        <c:axId val="75967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766312"/>
      </c:catAx>
      <c:valAx>
        <c:axId val="627766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678832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 2025'!$K$14</c:f>
            </c:strRef>
          </c:cat>
          <c:val>
            <c:numRef>
              <c:f>'Dec 2025'!$B$65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'Dec 2025'!$K$14</c:f>
            </c:strRef>
          </c:cat>
          <c:val>
            <c:numRef>
              <c:f>'Dec 2025'!$A$8:$A$29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'Dec 2025'!$K$14</c:f>
            </c:strRef>
          </c:cat>
          <c:val>
            <c:numRef>
              <c:f>'Dec 2025'!$H$26</c:f>
              <c:numCache/>
            </c:numRef>
          </c:val>
        </c:ser>
        <c:ser>
          <c:idx val="3"/>
          <c:order val="3"/>
          <c:cat>
            <c:strRef>
              <c:f>'Dec 2025'!$K$14</c:f>
            </c:strRef>
          </c:cat>
          <c:val>
            <c:numRef>
              <c:f>'Dec 2025'!$F$7</c:f>
              <c:numCache/>
            </c:numRef>
          </c:val>
        </c:ser>
        <c:ser>
          <c:idx val="4"/>
          <c:order val="4"/>
          <c:cat>
            <c:strRef>
              <c:f>'Dec 2025'!$K$14</c:f>
            </c:strRef>
          </c:cat>
          <c:val>
            <c:numRef>
              <c:f>'Dec 2025'!$H$41</c:f>
              <c:numCache/>
            </c:numRef>
          </c:val>
        </c:ser>
        <c:ser>
          <c:idx val="5"/>
          <c:order val="5"/>
          <c:cat>
            <c:strRef>
              <c:f>'Dec 2025'!$K$14</c:f>
            </c:strRef>
          </c:cat>
          <c:val>
            <c:numRef>
              <c:f>'Dec 2025'!$F$28</c:f>
              <c:numCache/>
            </c:numRef>
          </c:val>
        </c:ser>
        <c:axId val="1367177269"/>
        <c:axId val="778200909"/>
      </c:bar3DChart>
      <c:catAx>
        <c:axId val="1367177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200909"/>
      </c:catAx>
      <c:valAx>
        <c:axId val="778200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177269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Dec 2025'!$K$14</c:f>
            </c:strRef>
          </c:cat>
          <c:val>
            <c:numRef>
              <c:f>'Copy of Dec 2025'!$B$65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'Copy of Dec 2025'!$K$14</c:f>
            </c:strRef>
          </c:cat>
          <c:val>
            <c:numRef>
              <c:f>'Copy of Dec 2025'!$A$8:$A$29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'Copy of Dec 2025'!$K$14</c:f>
            </c:strRef>
          </c:cat>
          <c:val>
            <c:numRef>
              <c:f>'Copy of Dec 2025'!$H$26</c:f>
              <c:numCache/>
            </c:numRef>
          </c:val>
        </c:ser>
        <c:ser>
          <c:idx val="3"/>
          <c:order val="3"/>
          <c:cat>
            <c:strRef>
              <c:f>'Copy of Dec 2025'!$K$14</c:f>
            </c:strRef>
          </c:cat>
          <c:val>
            <c:numRef>
              <c:f>'Copy of Dec 2025'!$F$7</c:f>
              <c:numCache/>
            </c:numRef>
          </c:val>
        </c:ser>
        <c:ser>
          <c:idx val="4"/>
          <c:order val="4"/>
          <c:cat>
            <c:strRef>
              <c:f>'Copy of Dec 2025'!$K$14</c:f>
            </c:strRef>
          </c:cat>
          <c:val>
            <c:numRef>
              <c:f>'Copy of Dec 2025'!$H$41</c:f>
              <c:numCache/>
            </c:numRef>
          </c:val>
        </c:ser>
        <c:ser>
          <c:idx val="5"/>
          <c:order val="5"/>
          <c:cat>
            <c:strRef>
              <c:f>'Copy of Dec 2025'!$K$14</c:f>
            </c:strRef>
          </c:cat>
          <c:val>
            <c:numRef>
              <c:f>'Copy of Dec 2025'!$F$28</c:f>
              <c:numCache/>
            </c:numRef>
          </c:val>
        </c:ser>
        <c:axId val="1148744994"/>
        <c:axId val="1522872874"/>
      </c:bar3DChart>
      <c:catAx>
        <c:axId val="1148744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872874"/>
      </c:catAx>
      <c:valAx>
        <c:axId val="1522872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74499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22.png"/><Relationship Id="rId2" Type="http://schemas.openxmlformats.org/officeDocument/2006/relationships/image" Target="../media/Chart23.png"/><Relationship Id="rId3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25.png"/><Relationship Id="rId2" Type="http://schemas.openxmlformats.org/officeDocument/2006/relationships/image" Target="../media/Chart26.png"/><Relationship Id="rId3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28.png"/><Relationship Id="rId2" Type="http://schemas.openxmlformats.org/officeDocument/2006/relationships/image" Target="../media/Chart29.png"/><Relationship Id="rId3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32.png"/><Relationship Id="rId3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34.png"/><Relationship Id="rId2" Type="http://schemas.openxmlformats.org/officeDocument/2006/relationships/image" Target="../media/Chart35.png"/><Relationship Id="rId3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37.png"/><Relationship Id="rId2" Type="http://schemas.openxmlformats.org/officeDocument/2006/relationships/image" Target="../media/Chart38.png"/><Relationship Id="rId3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55</xdr:row>
      <xdr:rowOff>190500</xdr:rowOff>
    </xdr:from>
    <xdr:ext cx="3362325" cy="2209800"/>
    <xdr:pic>
      <xdr:nvPicPr>
        <xdr:cNvPr id="8376556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39</xdr:row>
      <xdr:rowOff>57150</xdr:rowOff>
    </xdr:from>
    <xdr:ext cx="4829175" cy="3209925"/>
    <xdr:pic>
      <xdr:nvPicPr>
        <xdr:cNvPr id="139789905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55</xdr:row>
      <xdr:rowOff>190500</xdr:rowOff>
    </xdr:from>
    <xdr:ext cx="3209925" cy="2009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55</xdr:row>
      <xdr:rowOff>190500</xdr:rowOff>
    </xdr:from>
    <xdr:ext cx="3362325" cy="2209800"/>
    <xdr:pic>
      <xdr:nvPicPr>
        <xdr:cNvPr id="5519093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39</xdr:row>
      <xdr:rowOff>57150</xdr:rowOff>
    </xdr:from>
    <xdr:ext cx="4829175" cy="3209925"/>
    <xdr:pic>
      <xdr:nvPicPr>
        <xdr:cNvPr id="78975000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55</xdr:row>
      <xdr:rowOff>190500</xdr:rowOff>
    </xdr:from>
    <xdr:ext cx="3209925" cy="2009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55</xdr:row>
      <xdr:rowOff>190500</xdr:rowOff>
    </xdr:from>
    <xdr:ext cx="3362325" cy="2209800"/>
    <xdr:pic>
      <xdr:nvPicPr>
        <xdr:cNvPr id="8078207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39</xdr:row>
      <xdr:rowOff>57150</xdr:rowOff>
    </xdr:from>
    <xdr:ext cx="4829175" cy="3209925"/>
    <xdr:pic>
      <xdr:nvPicPr>
        <xdr:cNvPr id="151559938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55</xdr:row>
      <xdr:rowOff>190500</xdr:rowOff>
    </xdr:from>
    <xdr:ext cx="3209925" cy="2009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55</xdr:row>
      <xdr:rowOff>190500</xdr:rowOff>
    </xdr:from>
    <xdr:ext cx="3362325" cy="2209800"/>
    <xdr:pic>
      <xdr:nvPicPr>
        <xdr:cNvPr id="1533073441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39</xdr:row>
      <xdr:rowOff>57150</xdr:rowOff>
    </xdr:from>
    <xdr:ext cx="4829175" cy="3209925"/>
    <xdr:pic>
      <xdr:nvPicPr>
        <xdr:cNvPr id="28246116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55</xdr:row>
      <xdr:rowOff>190500</xdr:rowOff>
    </xdr:from>
    <xdr:ext cx="3209925" cy="2009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55</xdr:row>
      <xdr:rowOff>190500</xdr:rowOff>
    </xdr:from>
    <xdr:ext cx="3362325" cy="2209800"/>
    <xdr:pic>
      <xdr:nvPicPr>
        <xdr:cNvPr id="11444945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39</xdr:row>
      <xdr:rowOff>57150</xdr:rowOff>
    </xdr:from>
    <xdr:ext cx="4829175" cy="3209925"/>
    <xdr:pic>
      <xdr:nvPicPr>
        <xdr:cNvPr id="1511222013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55</xdr:row>
      <xdr:rowOff>190500</xdr:rowOff>
    </xdr:from>
    <xdr:ext cx="3209925" cy="2009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56</xdr:row>
      <xdr:rowOff>190500</xdr:rowOff>
    </xdr:from>
    <xdr:ext cx="3362325" cy="2209800"/>
    <xdr:pic>
      <xdr:nvPicPr>
        <xdr:cNvPr id="2017291788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40</xdr:row>
      <xdr:rowOff>57150</xdr:rowOff>
    </xdr:from>
    <xdr:ext cx="4829175" cy="3209925"/>
    <xdr:pic>
      <xdr:nvPicPr>
        <xdr:cNvPr id="1350803498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56</xdr:row>
      <xdr:rowOff>190500</xdr:rowOff>
    </xdr:from>
    <xdr:ext cx="3209925" cy="2009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56</xdr:row>
      <xdr:rowOff>190500</xdr:rowOff>
    </xdr:from>
    <xdr:ext cx="3362325" cy="2209800"/>
    <xdr:pic>
      <xdr:nvPicPr>
        <xdr:cNvPr id="486242047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40</xdr:row>
      <xdr:rowOff>57150</xdr:rowOff>
    </xdr:from>
    <xdr:ext cx="4829175" cy="3209925"/>
    <xdr:pic>
      <xdr:nvPicPr>
        <xdr:cNvPr id="1535639690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56</xdr:row>
      <xdr:rowOff>190500</xdr:rowOff>
    </xdr:from>
    <xdr:ext cx="3209925" cy="2009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56</xdr:row>
      <xdr:rowOff>190500</xdr:rowOff>
    </xdr:from>
    <xdr:ext cx="3362325" cy="2209800"/>
    <xdr:pic>
      <xdr:nvPicPr>
        <xdr:cNvPr id="2094482149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41</xdr:row>
      <xdr:rowOff>142875</xdr:rowOff>
    </xdr:from>
    <xdr:ext cx="4953000" cy="2867025"/>
    <xdr:pic>
      <xdr:nvPicPr>
        <xdr:cNvPr id="1671406604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56</xdr:row>
      <xdr:rowOff>190500</xdr:rowOff>
    </xdr:from>
    <xdr:ext cx="3371850" cy="21145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56</xdr:row>
      <xdr:rowOff>190500</xdr:rowOff>
    </xdr:from>
    <xdr:ext cx="3362325" cy="2209800"/>
    <xdr:pic>
      <xdr:nvPicPr>
        <xdr:cNvPr id="925400087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41</xdr:row>
      <xdr:rowOff>142875</xdr:rowOff>
    </xdr:from>
    <xdr:ext cx="4953000" cy="2867025"/>
    <xdr:pic>
      <xdr:nvPicPr>
        <xdr:cNvPr id="1064399480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56</xdr:row>
      <xdr:rowOff>190500</xdr:rowOff>
    </xdr:from>
    <xdr:ext cx="3371850" cy="21145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57</xdr:row>
      <xdr:rowOff>190500</xdr:rowOff>
    </xdr:from>
    <xdr:ext cx="3362325" cy="2209800"/>
    <xdr:pic>
      <xdr:nvPicPr>
        <xdr:cNvPr id="1388044036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42</xdr:row>
      <xdr:rowOff>142875</xdr:rowOff>
    </xdr:from>
    <xdr:ext cx="4953000" cy="2867025"/>
    <xdr:pic>
      <xdr:nvPicPr>
        <xdr:cNvPr id="426216457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57</xdr:row>
      <xdr:rowOff>190500</xdr:rowOff>
    </xdr:from>
    <xdr:ext cx="3371850" cy="21145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57</xdr:row>
      <xdr:rowOff>190500</xdr:rowOff>
    </xdr:from>
    <xdr:ext cx="3362325" cy="2209800"/>
    <xdr:pic>
      <xdr:nvPicPr>
        <xdr:cNvPr id="1927489132" name="Chart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42</xdr:row>
      <xdr:rowOff>142875</xdr:rowOff>
    </xdr:from>
    <xdr:ext cx="4953000" cy="2867025"/>
    <xdr:pic>
      <xdr:nvPicPr>
        <xdr:cNvPr id="2004869913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57</xdr:row>
      <xdr:rowOff>190500</xdr:rowOff>
    </xdr:from>
    <xdr:ext cx="3371850" cy="21145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57</xdr:row>
      <xdr:rowOff>190500</xdr:rowOff>
    </xdr:from>
    <xdr:ext cx="3362325" cy="2209800"/>
    <xdr:pic>
      <xdr:nvPicPr>
        <xdr:cNvPr id="2013699588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42</xdr:row>
      <xdr:rowOff>142875</xdr:rowOff>
    </xdr:from>
    <xdr:ext cx="4953000" cy="2867025"/>
    <xdr:pic>
      <xdr:nvPicPr>
        <xdr:cNvPr id="1949298092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57</xdr:row>
      <xdr:rowOff>190500</xdr:rowOff>
    </xdr:from>
    <xdr:ext cx="3371850" cy="21145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57</xdr:row>
      <xdr:rowOff>190500</xdr:rowOff>
    </xdr:from>
    <xdr:ext cx="3362325" cy="2209800"/>
    <xdr:pic>
      <xdr:nvPicPr>
        <xdr:cNvPr id="1298307115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42</xdr:row>
      <xdr:rowOff>142875</xdr:rowOff>
    </xdr:from>
    <xdr:ext cx="4953000" cy="2867025"/>
    <xdr:pic>
      <xdr:nvPicPr>
        <xdr:cNvPr id="761490125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57</xdr:row>
      <xdr:rowOff>190500</xdr:rowOff>
    </xdr:from>
    <xdr:ext cx="3371850" cy="21145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5" max="5" width="13.63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895.0</v>
      </c>
      <c r="E3" s="10" t="s">
        <v>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6488.0</v>
      </c>
      <c r="E4" s="10" t="s">
        <v>5</v>
      </c>
      <c r="F4" s="14" t="s">
        <v>6</v>
      </c>
      <c r="G4" s="15" t="s">
        <v>7</v>
      </c>
      <c r="H4" s="8"/>
      <c r="I4" s="16">
        <f>SUM(B63,H39,H24)</f>
        <v>10313.38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826.07</v>
      </c>
      <c r="E5" s="10" t="s">
        <v>9</v>
      </c>
      <c r="F5" s="19" t="s">
        <v>10</v>
      </c>
      <c r="G5" s="20"/>
      <c r="H5" s="8"/>
      <c r="I5" s="21">
        <f>D6-I4</f>
        <v>-2104.31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8209.07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720.0</v>
      </c>
      <c r="I8" s="28">
        <f t="shared" ref="I8:I23" si="1">G8-H8</f>
        <v>-720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21</v>
      </c>
      <c r="B9" s="27">
        <v>20.48</v>
      </c>
      <c r="C9" s="26" t="s">
        <v>22</v>
      </c>
      <c r="D9" s="26" t="s">
        <v>23</v>
      </c>
      <c r="E9" s="4"/>
      <c r="F9" s="26" t="s">
        <v>24</v>
      </c>
      <c r="G9" s="27">
        <v>880.0</v>
      </c>
      <c r="H9" s="27">
        <v>827.0</v>
      </c>
      <c r="I9" s="28">
        <f t="shared" si="1"/>
        <v>53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25</v>
      </c>
      <c r="B10" s="27">
        <v>20.0</v>
      </c>
      <c r="C10" s="26" t="s">
        <v>26</v>
      </c>
      <c r="D10" s="26" t="s">
        <v>27</v>
      </c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29</v>
      </c>
      <c r="B11" s="27">
        <v>23.0</v>
      </c>
      <c r="C11" s="26" t="s">
        <v>26</v>
      </c>
      <c r="D11" s="26" t="s">
        <v>30</v>
      </c>
      <c r="E11" s="4"/>
      <c r="F11" s="26" t="s">
        <v>31</v>
      </c>
      <c r="G11" s="27">
        <v>360.0</v>
      </c>
      <c r="H11" s="27">
        <v>388.0</v>
      </c>
      <c r="I11" s="28">
        <f t="shared" si="1"/>
        <v>-28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 t="s">
        <v>32</v>
      </c>
      <c r="B12" s="27">
        <v>20.0</v>
      </c>
      <c r="C12" s="26" t="s">
        <v>22</v>
      </c>
      <c r="D12" s="26" t="s">
        <v>23</v>
      </c>
      <c r="E12" s="4"/>
      <c r="F12" s="26" t="s">
        <v>33</v>
      </c>
      <c r="G12" s="27">
        <v>320.0</v>
      </c>
      <c r="H12" s="27">
        <v>395.0</v>
      </c>
      <c r="I12" s="28">
        <f t="shared" si="1"/>
        <v>-75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 t="s">
        <v>29</v>
      </c>
      <c r="B13" s="27">
        <v>20.0</v>
      </c>
      <c r="C13" s="26" t="s">
        <v>26</v>
      </c>
      <c r="D13" s="26" t="s">
        <v>30</v>
      </c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 t="s">
        <v>35</v>
      </c>
      <c r="B14" s="27">
        <v>25.0</v>
      </c>
      <c r="C14" s="26" t="s">
        <v>22</v>
      </c>
      <c r="D14" s="26" t="s">
        <v>23</v>
      </c>
      <c r="E14" s="4"/>
      <c r="F14" s="26" t="s">
        <v>36</v>
      </c>
      <c r="G14" s="27">
        <v>1000.0</v>
      </c>
      <c r="H14" s="27">
        <v>1000.0</v>
      </c>
      <c r="I14" s="28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 t="s">
        <v>37</v>
      </c>
      <c r="B15" s="27">
        <v>64.0</v>
      </c>
      <c r="C15" s="26" t="s">
        <v>22</v>
      </c>
      <c r="D15" s="26" t="s">
        <v>38</v>
      </c>
      <c r="E15" s="4"/>
      <c r="F15" s="26" t="s">
        <v>39</v>
      </c>
      <c r="G15" s="27">
        <v>30.0</v>
      </c>
      <c r="H15" s="27">
        <v>31.3</v>
      </c>
      <c r="I15" s="28">
        <f t="shared" si="1"/>
        <v>-1.3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 t="s">
        <v>29</v>
      </c>
      <c r="B16" s="27">
        <v>9.0</v>
      </c>
      <c r="C16" s="26" t="s">
        <v>26</v>
      </c>
      <c r="D16" s="26" t="s">
        <v>30</v>
      </c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 t="s">
        <v>41</v>
      </c>
      <c r="B17" s="27">
        <v>89.0</v>
      </c>
      <c r="C17" s="26" t="s">
        <v>22</v>
      </c>
      <c r="D17" s="26" t="s">
        <v>42</v>
      </c>
      <c r="E17" s="4"/>
      <c r="F17" s="26" t="s">
        <v>43</v>
      </c>
      <c r="G17" s="27">
        <v>30.0</v>
      </c>
      <c r="H17" s="27">
        <v>0.0</v>
      </c>
      <c r="I17" s="28">
        <f t="shared" si="1"/>
        <v>30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 t="s">
        <v>44</v>
      </c>
      <c r="B18" s="27">
        <v>17.0</v>
      </c>
      <c r="C18" s="26" t="s">
        <v>22</v>
      </c>
      <c r="D18" s="26" t="s">
        <v>23</v>
      </c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 t="s">
        <v>46</v>
      </c>
      <c r="B19" s="27">
        <v>39.0</v>
      </c>
      <c r="C19" s="26" t="s">
        <v>22</v>
      </c>
      <c r="D19" s="26" t="s">
        <v>38</v>
      </c>
      <c r="E19" s="4"/>
      <c r="F19" s="26" t="s">
        <v>47</v>
      </c>
      <c r="G19" s="27">
        <v>400.0</v>
      </c>
      <c r="H19" s="27">
        <v>440.0</v>
      </c>
      <c r="I19" s="28">
        <f t="shared" si="1"/>
        <v>-40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 t="s">
        <v>29</v>
      </c>
      <c r="B20" s="27">
        <v>10.0</v>
      </c>
      <c r="C20" s="26" t="s">
        <v>26</v>
      </c>
      <c r="D20" s="26" t="s">
        <v>30</v>
      </c>
      <c r="E20" s="4"/>
      <c r="F20" s="26" t="s">
        <v>2</v>
      </c>
      <c r="G20" s="27">
        <v>1000.0</v>
      </c>
      <c r="H20" s="27">
        <v>895.0</v>
      </c>
      <c r="I20" s="28">
        <f t="shared" si="1"/>
        <v>105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 t="s">
        <v>29</v>
      </c>
      <c r="B21" s="27">
        <v>25.0</v>
      </c>
      <c r="C21" s="26" t="s">
        <v>26</v>
      </c>
      <c r="D21" s="26" t="s">
        <v>30</v>
      </c>
      <c r="E21" s="4"/>
      <c r="F21" s="26" t="s">
        <v>48</v>
      </c>
      <c r="G21" s="27">
        <f t="shared" ref="G21:H21" si="2">G39</f>
        <v>775</v>
      </c>
      <c r="H21" s="28">
        <f t="shared" si="2"/>
        <v>840.8</v>
      </c>
      <c r="I21" s="28">
        <f t="shared" si="1"/>
        <v>-65.8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 t="s">
        <v>49</v>
      </c>
      <c r="B22" s="27">
        <v>159.0</v>
      </c>
      <c r="C22" s="26" t="s">
        <v>22</v>
      </c>
      <c r="D22" s="26" t="s">
        <v>23</v>
      </c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 t="s">
        <v>51</v>
      </c>
      <c r="B23" s="27">
        <v>14.0</v>
      </c>
      <c r="C23" s="26" t="s">
        <v>22</v>
      </c>
      <c r="D23" s="26" t="s">
        <v>23</v>
      </c>
      <c r="E23" s="4"/>
      <c r="F23" s="26" t="s">
        <v>52</v>
      </c>
      <c r="G23" s="27">
        <v>500.0</v>
      </c>
      <c r="H23" s="27">
        <v>200.0</v>
      </c>
      <c r="I23" s="28">
        <f t="shared" si="1"/>
        <v>300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 t="s">
        <v>51</v>
      </c>
      <c r="B24" s="27">
        <v>19.0</v>
      </c>
      <c r="C24" s="26" t="s">
        <v>22</v>
      </c>
      <c r="D24" s="26" t="s">
        <v>23</v>
      </c>
      <c r="E24" s="4"/>
      <c r="F24" s="25" t="s">
        <v>53</v>
      </c>
      <c r="G24" s="29">
        <f t="shared" ref="G24:H24" si="3">SUM(G8:G23)</f>
        <v>6225</v>
      </c>
      <c r="H24" s="29">
        <f t="shared" si="3"/>
        <v>6264.1</v>
      </c>
      <c r="I24" s="29">
        <f>SUM(I9:I23)</f>
        <v>680.9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 t="s">
        <v>51</v>
      </c>
      <c r="B25" s="27">
        <v>49.0</v>
      </c>
      <c r="C25" s="26" t="s">
        <v>22</v>
      </c>
      <c r="D25" s="26" t="s">
        <v>23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 t="s">
        <v>54</v>
      </c>
      <c r="B26" s="27">
        <v>74.0</v>
      </c>
      <c r="C26" s="26" t="s">
        <v>22</v>
      </c>
      <c r="D26" s="26" t="s">
        <v>42</v>
      </c>
      <c r="E26" s="4"/>
      <c r="F26" s="25" t="s">
        <v>55</v>
      </c>
      <c r="G26" s="25" t="s">
        <v>13</v>
      </c>
      <c r="H26" s="25" t="s">
        <v>14</v>
      </c>
      <c r="I26" s="25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 t="s">
        <v>51</v>
      </c>
      <c r="B27" s="27">
        <v>66.0</v>
      </c>
      <c r="C27" s="26" t="s">
        <v>22</v>
      </c>
      <c r="D27" s="26" t="s">
        <v>23</v>
      </c>
      <c r="E27" s="4"/>
      <c r="F27" s="26" t="s">
        <v>56</v>
      </c>
      <c r="G27" s="27">
        <v>0.0</v>
      </c>
      <c r="H27" s="27">
        <v>0.0</v>
      </c>
      <c r="I27" s="27">
        <f t="shared" ref="I27:I38" si="4">G27-H27</f>
        <v>0</v>
      </c>
      <c r="J27" s="10" t="s">
        <v>57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 t="s">
        <v>58</v>
      </c>
      <c r="B28" s="27">
        <v>76.0</v>
      </c>
      <c r="C28" s="26" t="s">
        <v>22</v>
      </c>
      <c r="D28" s="26" t="s">
        <v>59</v>
      </c>
      <c r="E28" s="4"/>
      <c r="F28" s="26" t="s">
        <v>60</v>
      </c>
      <c r="G28" s="27">
        <v>0.0</v>
      </c>
      <c r="H28" s="27">
        <v>0.0</v>
      </c>
      <c r="I28" s="27">
        <f t="shared" si="4"/>
        <v>0</v>
      </c>
      <c r="J28" s="10" t="s">
        <v>61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 t="s">
        <v>62</v>
      </c>
      <c r="B29" s="27">
        <v>16.0</v>
      </c>
      <c r="C29" s="26" t="s">
        <v>22</v>
      </c>
      <c r="D29" s="26" t="s">
        <v>59</v>
      </c>
      <c r="E29" s="4"/>
      <c r="F29" s="26" t="s">
        <v>63</v>
      </c>
      <c r="G29" s="27">
        <v>50.0</v>
      </c>
      <c r="H29" s="27">
        <v>50.0</v>
      </c>
      <c r="I29" s="27">
        <f t="shared" si="4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 t="s">
        <v>64</v>
      </c>
      <c r="B30" s="27">
        <v>15.0</v>
      </c>
      <c r="C30" s="26" t="s">
        <v>22</v>
      </c>
      <c r="D30" s="26" t="s">
        <v>38</v>
      </c>
      <c r="E30" s="4"/>
      <c r="F30" s="26" t="s">
        <v>65</v>
      </c>
      <c r="G30" s="27">
        <v>50.0</v>
      </c>
      <c r="H30" s="27">
        <v>50.0</v>
      </c>
      <c r="I30" s="27">
        <f t="shared" si="4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 t="s">
        <v>51</v>
      </c>
      <c r="B31" s="27">
        <v>48.0</v>
      </c>
      <c r="C31" s="26" t="s">
        <v>22</v>
      </c>
      <c r="D31" s="26" t="s">
        <v>23</v>
      </c>
      <c r="E31" s="4"/>
      <c r="F31" s="26" t="s">
        <v>66</v>
      </c>
      <c r="G31" s="27">
        <v>100.0</v>
      </c>
      <c r="H31" s="27">
        <v>180.8</v>
      </c>
      <c r="I31" s="27">
        <f t="shared" si="4"/>
        <v>-80.8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 t="s">
        <v>51</v>
      </c>
      <c r="B32" s="27">
        <v>65.0</v>
      </c>
      <c r="C32" s="26" t="s">
        <v>22</v>
      </c>
      <c r="D32" s="26" t="s">
        <v>23</v>
      </c>
      <c r="E32" s="4"/>
      <c r="F32" s="26" t="s">
        <v>67</v>
      </c>
      <c r="G32" s="27">
        <v>100.0</v>
      </c>
      <c r="H32" s="27">
        <v>100.0</v>
      </c>
      <c r="I32" s="27">
        <f t="shared" si="4"/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 t="s">
        <v>68</v>
      </c>
      <c r="B33" s="27">
        <v>10.0</v>
      </c>
      <c r="C33" s="26" t="s">
        <v>26</v>
      </c>
      <c r="D33" s="26" t="s">
        <v>59</v>
      </c>
      <c r="E33" s="4"/>
      <c r="F33" s="26" t="s">
        <v>69</v>
      </c>
      <c r="G33" s="27">
        <v>50.0</v>
      </c>
      <c r="H33" s="27">
        <v>50.0</v>
      </c>
      <c r="I33" s="27">
        <f t="shared" si="4"/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 t="s">
        <v>51</v>
      </c>
      <c r="B34" s="27">
        <v>6.0</v>
      </c>
      <c r="C34" s="26" t="s">
        <v>22</v>
      </c>
      <c r="D34" s="26" t="s">
        <v>23</v>
      </c>
      <c r="E34" s="4"/>
      <c r="F34" s="26" t="s">
        <v>70</v>
      </c>
      <c r="G34" s="27">
        <v>50.0</v>
      </c>
      <c r="H34" s="27">
        <v>50.0</v>
      </c>
      <c r="I34" s="27">
        <f t="shared" si="4"/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 t="s">
        <v>64</v>
      </c>
      <c r="B35" s="27">
        <v>20.0</v>
      </c>
      <c r="C35" s="26" t="s">
        <v>22</v>
      </c>
      <c r="D35" s="26" t="s">
        <v>23</v>
      </c>
      <c r="E35" s="4"/>
      <c r="F35" s="26" t="s">
        <v>52</v>
      </c>
      <c r="G35" s="27">
        <v>0.0</v>
      </c>
      <c r="H35" s="27">
        <v>0.0</v>
      </c>
      <c r="I35" s="27">
        <f t="shared" si="4"/>
        <v>0</v>
      </c>
      <c r="J35" s="10" t="s">
        <v>71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 t="s">
        <v>72</v>
      </c>
      <c r="B36" s="27">
        <v>123.0</v>
      </c>
      <c r="C36" s="26" t="s">
        <v>22</v>
      </c>
      <c r="D36" s="26" t="s">
        <v>38</v>
      </c>
      <c r="E36" s="4"/>
      <c r="F36" s="26" t="s">
        <v>52</v>
      </c>
      <c r="G36" s="27">
        <v>125.0</v>
      </c>
      <c r="H36" s="27">
        <v>120.0</v>
      </c>
      <c r="I36" s="27">
        <f t="shared" si="4"/>
        <v>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 t="s">
        <v>73</v>
      </c>
      <c r="B37" s="27">
        <v>95.0</v>
      </c>
      <c r="C37" s="26" t="s">
        <v>26</v>
      </c>
      <c r="D37" s="26" t="s">
        <v>74</v>
      </c>
      <c r="E37" s="4"/>
      <c r="F37" s="26" t="s">
        <v>52</v>
      </c>
      <c r="G37" s="27">
        <v>125.0</v>
      </c>
      <c r="H37" s="27">
        <v>120.0</v>
      </c>
      <c r="I37" s="27">
        <f t="shared" si="4"/>
        <v>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 t="s">
        <v>75</v>
      </c>
      <c r="B38" s="27">
        <v>240.0</v>
      </c>
      <c r="C38" s="26" t="s">
        <v>22</v>
      </c>
      <c r="D38" s="26" t="s">
        <v>76</v>
      </c>
      <c r="E38" s="4"/>
      <c r="F38" s="26" t="s">
        <v>52</v>
      </c>
      <c r="G38" s="27">
        <v>125.0</v>
      </c>
      <c r="H38" s="27">
        <v>120.0</v>
      </c>
      <c r="I38" s="27">
        <f t="shared" si="4"/>
        <v>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 t="s">
        <v>77</v>
      </c>
      <c r="B39" s="27">
        <v>75.0</v>
      </c>
      <c r="C39" s="26" t="s">
        <v>26</v>
      </c>
      <c r="D39" s="26" t="s">
        <v>38</v>
      </c>
      <c r="E39" s="4"/>
      <c r="F39" s="25" t="s">
        <v>53</v>
      </c>
      <c r="G39" s="29">
        <f t="shared" ref="G39:I39" si="5">SUM(G27:G38)</f>
        <v>775</v>
      </c>
      <c r="H39" s="29">
        <f t="shared" si="5"/>
        <v>840.8</v>
      </c>
      <c r="I39" s="29">
        <f t="shared" si="5"/>
        <v>-65.8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 t="s">
        <v>78</v>
      </c>
      <c r="B40" s="27">
        <v>25.0</v>
      </c>
      <c r="C40" s="26" t="s">
        <v>22</v>
      </c>
      <c r="D40" s="26" t="s">
        <v>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 t="s">
        <v>79</v>
      </c>
      <c r="B41" s="27">
        <v>21.0</v>
      </c>
      <c r="C41" s="26" t="s">
        <v>26</v>
      </c>
      <c r="D41" s="26" t="s">
        <v>30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 t="s">
        <v>80</v>
      </c>
      <c r="B42" s="27">
        <v>117.0</v>
      </c>
      <c r="C42" s="26" t="s">
        <v>22</v>
      </c>
      <c r="D42" s="26" t="s">
        <v>38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 t="s">
        <v>81</v>
      </c>
      <c r="B43" s="27">
        <v>13.0</v>
      </c>
      <c r="C43" s="26" t="s">
        <v>26</v>
      </c>
      <c r="D43" s="26" t="s">
        <v>30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 t="s">
        <v>82</v>
      </c>
      <c r="B44" s="27">
        <v>14.0</v>
      </c>
      <c r="C44" s="26" t="s">
        <v>26</v>
      </c>
      <c r="D44" s="26" t="s">
        <v>30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 t="s">
        <v>29</v>
      </c>
      <c r="B45" s="27">
        <v>13.0</v>
      </c>
      <c r="C45" s="26" t="s">
        <v>26</v>
      </c>
      <c r="D45" s="26" t="s">
        <v>30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6" t="s">
        <v>83</v>
      </c>
      <c r="B46" s="27">
        <v>14.0</v>
      </c>
      <c r="C46" s="26" t="s">
        <v>26</v>
      </c>
      <c r="D46" s="26" t="s">
        <v>23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6" t="s">
        <v>29</v>
      </c>
      <c r="B47" s="27">
        <v>7.0</v>
      </c>
      <c r="C47" s="26" t="s">
        <v>26</v>
      </c>
      <c r="D47" s="26" t="s">
        <v>30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6" t="s">
        <v>84</v>
      </c>
      <c r="B48" s="27">
        <v>35.0</v>
      </c>
      <c r="C48" s="26" t="s">
        <v>22</v>
      </c>
      <c r="D48" s="26" t="s">
        <v>59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6" t="s">
        <v>29</v>
      </c>
      <c r="B49" s="27">
        <v>8.0</v>
      </c>
      <c r="C49" s="26" t="s">
        <v>26</v>
      </c>
      <c r="D49" s="26" t="s">
        <v>30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6" t="s">
        <v>85</v>
      </c>
      <c r="B50" s="27">
        <v>100.0</v>
      </c>
      <c r="C50" s="26" t="s">
        <v>26</v>
      </c>
      <c r="D50" s="26" t="s">
        <v>27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6" t="s">
        <v>86</v>
      </c>
      <c r="B51" s="27">
        <v>60.0</v>
      </c>
      <c r="C51" s="26" t="s">
        <v>26</v>
      </c>
      <c r="D51" s="26" t="s">
        <v>23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6" t="s">
        <v>29</v>
      </c>
      <c r="B52" s="27">
        <v>30.0</v>
      </c>
      <c r="C52" s="26" t="s">
        <v>26</v>
      </c>
      <c r="D52" s="26" t="s">
        <v>30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7">
        <v>400.0</v>
      </c>
      <c r="C53" s="26" t="s">
        <v>26</v>
      </c>
      <c r="D53" s="26" t="s">
        <v>38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7">
        <v>400.0</v>
      </c>
      <c r="C54" s="26" t="s">
        <v>22</v>
      </c>
      <c r="D54" s="26" t="s">
        <v>30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7">
        <v>400.0</v>
      </c>
      <c r="C55" s="26" t="s">
        <v>22</v>
      </c>
      <c r="D55" s="26" t="s">
        <v>59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5" t="s">
        <v>53</v>
      </c>
      <c r="B63" s="29">
        <f>SUM(B9:B62)</f>
        <v>3208.48</v>
      </c>
      <c r="C63" s="31"/>
      <c r="D63" s="3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3">
    <cfRule type="cellIs" dxfId="0" priority="1" operator="lessThan">
      <formula>0</formula>
    </cfRule>
  </conditionalFormatting>
  <conditionalFormatting sqref="I27:I38">
    <cfRule type="cellIs" dxfId="0" priority="2" operator="lessThan">
      <formula>0</formula>
    </cfRule>
  </conditionalFormatting>
  <conditionalFormatting sqref="I27:I38">
    <cfRule type="cellIs" dxfId="1" priority="3" operator="greaterThan">
      <formula>0</formula>
    </cfRule>
  </conditionalFormatting>
  <conditionalFormatting sqref="I8:I23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5600.0</v>
      </c>
      <c r="E4" s="10"/>
      <c r="F4" s="14" t="s">
        <v>6</v>
      </c>
      <c r="G4" s="15" t="s">
        <v>7</v>
      </c>
      <c r="H4" s="8"/>
      <c r="I4" s="16">
        <f>SUM(B63,H39,H24)</f>
        <v>3750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/>
      <c r="E5" s="4"/>
      <c r="F5" s="19" t="s">
        <v>10</v>
      </c>
      <c r="G5" s="20"/>
      <c r="H5" s="8"/>
      <c r="I5" s="21">
        <f>D6-I4</f>
        <v>2850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6600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50.0</v>
      </c>
      <c r="I8" s="28">
        <f t="shared" ref="I8:I23" si="1">G8-H8</f>
        <v>-50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>
        <v>200.0</v>
      </c>
      <c r="I9" s="28">
        <f t="shared" si="1"/>
        <v>680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>
        <v>321.0</v>
      </c>
      <c r="I11" s="28">
        <f t="shared" si="1"/>
        <v>39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320.0</v>
      </c>
      <c r="I12" s="28">
        <f t="shared" si="1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810.0</v>
      </c>
      <c r="I14" s="28">
        <f t="shared" si="1"/>
        <v>190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32.0</v>
      </c>
      <c r="I15" s="28">
        <f t="shared" si="1"/>
        <v>-2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30.0</v>
      </c>
      <c r="H17" s="27">
        <v>90.0</v>
      </c>
      <c r="I17" s="28">
        <f t="shared" si="1"/>
        <v>-60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200.0</v>
      </c>
      <c r="I19" s="28">
        <f t="shared" si="1"/>
        <v>200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G39</f>
        <v>1000</v>
      </c>
      <c r="H21" s="28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87</v>
      </c>
      <c r="G23" s="27">
        <v>500.0</v>
      </c>
      <c r="H23" s="27">
        <v>200.0</v>
      </c>
      <c r="I23" s="28">
        <f t="shared" si="1"/>
        <v>300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5" t="s">
        <v>53</v>
      </c>
      <c r="G24" s="29">
        <f t="shared" ref="G24:H24" si="2">SUM(G8:G23)</f>
        <v>6450</v>
      </c>
      <c r="H24" s="29">
        <f t="shared" si="2"/>
        <v>3750</v>
      </c>
      <c r="I24" s="29">
        <f>SUM(I9:I23)</f>
        <v>2750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55</v>
      </c>
      <c r="G26" s="25" t="s">
        <v>13</v>
      </c>
      <c r="H26" s="25" t="s">
        <v>14</v>
      </c>
      <c r="I26" s="25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6" t="s">
        <v>56</v>
      </c>
      <c r="G27" s="27">
        <v>50.0</v>
      </c>
      <c r="H27" s="27"/>
      <c r="I27" s="27">
        <f t="shared" ref="I27:I38" si="3">G27-H27</f>
        <v>50</v>
      </c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60</v>
      </c>
      <c r="G28" s="27">
        <v>50.0</v>
      </c>
      <c r="H28" s="27"/>
      <c r="I28" s="27">
        <f t="shared" si="3"/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63</v>
      </c>
      <c r="G29" s="27">
        <v>50.0</v>
      </c>
      <c r="H29" s="28"/>
      <c r="I29" s="27">
        <f t="shared" si="3"/>
        <v>50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65</v>
      </c>
      <c r="G30" s="27">
        <v>50.0</v>
      </c>
      <c r="H30" s="28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66</v>
      </c>
      <c r="G31" s="27">
        <v>100.0</v>
      </c>
      <c r="H31" s="27"/>
      <c r="I31" s="27">
        <f t="shared" si="3"/>
        <v>100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67</v>
      </c>
      <c r="G32" s="27">
        <v>100.0</v>
      </c>
      <c r="H32" s="28"/>
      <c r="I32" s="27">
        <f t="shared" si="3"/>
        <v>100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69</v>
      </c>
      <c r="G33" s="27">
        <v>50.0</v>
      </c>
      <c r="H33" s="27"/>
      <c r="I33" s="27">
        <f t="shared" si="3"/>
        <v>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70</v>
      </c>
      <c r="G34" s="27">
        <v>50.0</v>
      </c>
      <c r="H34" s="28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52</v>
      </c>
      <c r="G35" s="27">
        <v>125.0</v>
      </c>
      <c r="H35" s="27"/>
      <c r="I35" s="27">
        <f t="shared" si="3"/>
        <v>125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52</v>
      </c>
      <c r="G36" s="27">
        <v>125.0</v>
      </c>
      <c r="H36" s="28"/>
      <c r="I36" s="27">
        <f t="shared" si="3"/>
        <v>125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52</v>
      </c>
      <c r="G37" s="27">
        <v>125.0</v>
      </c>
      <c r="H37" s="28"/>
      <c r="I37" s="27">
        <f t="shared" si="3"/>
        <v>125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8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5" t="s">
        <v>53</v>
      </c>
      <c r="G39" s="29">
        <f t="shared" ref="G39:I39" si="4">SUM(G27:G38)</f>
        <v>1000</v>
      </c>
      <c r="H39" s="29">
        <f t="shared" si="4"/>
        <v>0</v>
      </c>
      <c r="I39" s="29">
        <f t="shared" si="4"/>
        <v>1000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0"/>
      <c r="B45" s="28"/>
      <c r="C45" s="30"/>
      <c r="D45" s="3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5" t="s">
        <v>53</v>
      </c>
      <c r="B63" s="29">
        <f>SUM(B9:B62)</f>
        <v>0</v>
      </c>
      <c r="C63" s="31"/>
      <c r="D63" s="3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3">
    <cfRule type="cellIs" dxfId="0" priority="1" operator="lessThan">
      <formula>0</formula>
    </cfRule>
  </conditionalFormatting>
  <conditionalFormatting sqref="I27:I38">
    <cfRule type="cellIs" dxfId="0" priority="2" operator="lessThan">
      <formula>0</formula>
    </cfRule>
  </conditionalFormatting>
  <conditionalFormatting sqref="I27:I38">
    <cfRule type="cellIs" dxfId="1" priority="3" operator="greaterThan">
      <formula>0</formula>
    </cfRule>
  </conditionalFormatting>
  <conditionalFormatting sqref="I8:I23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6337.0</v>
      </c>
      <c r="E4" s="10"/>
      <c r="F4" s="14" t="s">
        <v>6</v>
      </c>
      <c r="G4" s="15" t="s">
        <v>7</v>
      </c>
      <c r="H4" s="8"/>
      <c r="I4" s="16">
        <f>SUM(B63,H39,H24)</f>
        <v>4720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835.0</v>
      </c>
      <c r="E5" s="4"/>
      <c r="F5" s="19" t="s">
        <v>10</v>
      </c>
      <c r="G5" s="20"/>
      <c r="H5" s="8"/>
      <c r="I5" s="21">
        <f>D6-I4</f>
        <v>3452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8172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0.0</v>
      </c>
      <c r="I8" s="28">
        <f t="shared" ref="I8:I23" si="1">G8-H8</f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>
        <v>600.0</v>
      </c>
      <c r="I9" s="28">
        <f t="shared" si="1"/>
        <v>280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>
        <v>387.0</v>
      </c>
      <c r="I11" s="28">
        <f t="shared" si="1"/>
        <v>-27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419.0</v>
      </c>
      <c r="I12" s="28">
        <f t="shared" si="1"/>
        <v>-99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1000.0</v>
      </c>
      <c r="I14" s="28">
        <f t="shared" si="1"/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33.0</v>
      </c>
      <c r="I15" s="28">
        <f t="shared" si="1"/>
        <v>-3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/>
      <c r="I16" s="28">
        <f t="shared" si="1"/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30.0</v>
      </c>
      <c r="H17" s="27">
        <v>91.0</v>
      </c>
      <c r="I17" s="28">
        <f t="shared" si="1"/>
        <v>-61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>
        <v>280.0</v>
      </c>
      <c r="I18" s="28">
        <f t="shared" si="1"/>
        <v>120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200.0</v>
      </c>
      <c r="I19" s="28">
        <f t="shared" si="1"/>
        <v>200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G39</f>
        <v>1000</v>
      </c>
      <c r="H21" s="28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110.0</v>
      </c>
      <c r="I22" s="28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87</v>
      </c>
      <c r="G23" s="27">
        <v>500.0</v>
      </c>
      <c r="H23" s="27">
        <v>200.0</v>
      </c>
      <c r="I23" s="28">
        <f t="shared" si="1"/>
        <v>300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5" t="s">
        <v>53</v>
      </c>
      <c r="G24" s="29">
        <f t="shared" ref="G24:H24" si="2">SUM(G8:G23)</f>
        <v>6450</v>
      </c>
      <c r="H24" s="29">
        <f t="shared" si="2"/>
        <v>4720</v>
      </c>
      <c r="I24" s="29">
        <f>SUM(I9:I23)</f>
        <v>1730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88</v>
      </c>
      <c r="G26" s="25" t="s">
        <v>13</v>
      </c>
      <c r="H26" s="25" t="s">
        <v>14</v>
      </c>
      <c r="I26" s="25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6" t="s">
        <v>56</v>
      </c>
      <c r="G27" s="27">
        <v>50.0</v>
      </c>
      <c r="H27" s="27"/>
      <c r="I27" s="27">
        <f t="shared" ref="I27:I38" si="3">G27-H27</f>
        <v>50</v>
      </c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60</v>
      </c>
      <c r="G28" s="27">
        <v>50.0</v>
      </c>
      <c r="H28" s="27"/>
      <c r="I28" s="27">
        <f t="shared" si="3"/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63</v>
      </c>
      <c r="G29" s="27">
        <v>50.0</v>
      </c>
      <c r="H29" s="28"/>
      <c r="I29" s="27">
        <f t="shared" si="3"/>
        <v>50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65</v>
      </c>
      <c r="G30" s="27">
        <v>50.0</v>
      </c>
      <c r="H30" s="28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66</v>
      </c>
      <c r="G31" s="27">
        <v>100.0</v>
      </c>
      <c r="H31" s="27"/>
      <c r="I31" s="27">
        <f t="shared" si="3"/>
        <v>100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67</v>
      </c>
      <c r="G32" s="27">
        <v>100.0</v>
      </c>
      <c r="H32" s="28"/>
      <c r="I32" s="27">
        <f t="shared" si="3"/>
        <v>100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69</v>
      </c>
      <c r="G33" s="27">
        <v>50.0</v>
      </c>
      <c r="H33" s="27"/>
      <c r="I33" s="27">
        <f t="shared" si="3"/>
        <v>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70</v>
      </c>
      <c r="G34" s="27">
        <v>50.0</v>
      </c>
      <c r="H34" s="28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89</v>
      </c>
      <c r="G35" s="27">
        <v>125.0</v>
      </c>
      <c r="H35" s="27"/>
      <c r="I35" s="27">
        <f t="shared" si="3"/>
        <v>125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89</v>
      </c>
      <c r="G36" s="27">
        <v>125.0</v>
      </c>
      <c r="H36" s="28"/>
      <c r="I36" s="27">
        <f t="shared" si="3"/>
        <v>125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52</v>
      </c>
      <c r="G37" s="27">
        <v>125.0</v>
      </c>
      <c r="H37" s="28"/>
      <c r="I37" s="27">
        <f t="shared" si="3"/>
        <v>125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8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5" t="s">
        <v>53</v>
      </c>
      <c r="G39" s="29">
        <f t="shared" ref="G39:I39" si="4">SUM(G27:G38)</f>
        <v>1000</v>
      </c>
      <c r="H39" s="29">
        <f t="shared" si="4"/>
        <v>0</v>
      </c>
      <c r="I39" s="29">
        <f t="shared" si="4"/>
        <v>1000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0"/>
      <c r="B45" s="28"/>
      <c r="C45" s="30"/>
      <c r="D45" s="3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5" t="s">
        <v>53</v>
      </c>
      <c r="B63" s="29">
        <f>SUM(B9:B62)</f>
        <v>0</v>
      </c>
      <c r="C63" s="31"/>
      <c r="D63" s="3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3">
    <cfRule type="cellIs" dxfId="0" priority="1" operator="lessThan">
      <formula>0</formula>
    </cfRule>
  </conditionalFormatting>
  <conditionalFormatting sqref="I27:I38">
    <cfRule type="cellIs" dxfId="0" priority="2" operator="lessThan">
      <formula>0</formula>
    </cfRule>
  </conditionalFormatting>
  <conditionalFormatting sqref="I27:I38">
    <cfRule type="cellIs" dxfId="1" priority="3" operator="greaterThan">
      <formula>0</formula>
    </cfRule>
  </conditionalFormatting>
  <conditionalFormatting sqref="I8:I23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6394.0</v>
      </c>
      <c r="E4" s="10"/>
      <c r="F4" s="14" t="s">
        <v>6</v>
      </c>
      <c r="G4" s="15" t="s">
        <v>7</v>
      </c>
      <c r="H4" s="8"/>
      <c r="I4" s="16">
        <f>SUM(B63,H39,H24)</f>
        <v>5155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/>
      <c r="E5" s="4"/>
      <c r="F5" s="19" t="s">
        <v>10</v>
      </c>
      <c r="G5" s="20"/>
      <c r="H5" s="8"/>
      <c r="I5" s="21">
        <f>D6-I4</f>
        <v>2239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7394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0.0</v>
      </c>
      <c r="I8" s="28">
        <f t="shared" ref="I8:I23" si="1">G8-H8</f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>
        <v>200.0</v>
      </c>
      <c r="I9" s="28">
        <f t="shared" si="1"/>
        <v>680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>
        <v>411.0</v>
      </c>
      <c r="I11" s="28">
        <f t="shared" si="1"/>
        <v>-51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493.0</v>
      </c>
      <c r="I12" s="28">
        <f t="shared" si="1"/>
        <v>-173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1400.0</v>
      </c>
      <c r="I14" s="28">
        <f t="shared" si="1"/>
        <v>-400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33.0</v>
      </c>
      <c r="I15" s="28">
        <f t="shared" si="1"/>
        <v>-3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30.0</v>
      </c>
      <c r="H17" s="27">
        <v>91.0</v>
      </c>
      <c r="I17" s="28">
        <f t="shared" si="1"/>
        <v>-61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400.0</v>
      </c>
      <c r="I19" s="28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G39</f>
        <v>1000</v>
      </c>
      <c r="H21" s="28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87</v>
      </c>
      <c r="G23" s="27">
        <v>500.0</v>
      </c>
      <c r="H23" s="27">
        <v>400.0</v>
      </c>
      <c r="I23" s="28">
        <f t="shared" si="1"/>
        <v>100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5" t="s">
        <v>53</v>
      </c>
      <c r="G24" s="29">
        <f t="shared" ref="G24:H24" si="2">SUM(G8:G23)</f>
        <v>6450</v>
      </c>
      <c r="H24" s="29">
        <f t="shared" si="2"/>
        <v>4955</v>
      </c>
      <c r="I24" s="29">
        <f>SUM(I9:I23)</f>
        <v>1495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88</v>
      </c>
      <c r="G26" s="25" t="s">
        <v>13</v>
      </c>
      <c r="H26" s="25" t="s">
        <v>14</v>
      </c>
      <c r="I26" s="25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6" t="s">
        <v>56</v>
      </c>
      <c r="G27" s="27">
        <v>50.0</v>
      </c>
      <c r="H27" s="27"/>
      <c r="I27" s="27">
        <f t="shared" ref="I27:I38" si="3">G27-H27</f>
        <v>50</v>
      </c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60</v>
      </c>
      <c r="G28" s="27">
        <v>50.0</v>
      </c>
      <c r="H28" s="27"/>
      <c r="I28" s="27">
        <f t="shared" si="3"/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63</v>
      </c>
      <c r="G29" s="27">
        <v>50.0</v>
      </c>
      <c r="H29" s="28"/>
      <c r="I29" s="27">
        <f t="shared" si="3"/>
        <v>50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65</v>
      </c>
      <c r="G30" s="27">
        <v>50.0</v>
      </c>
      <c r="H30" s="28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66</v>
      </c>
      <c r="G31" s="27">
        <v>100.0</v>
      </c>
      <c r="H31" s="27"/>
      <c r="I31" s="27">
        <f t="shared" si="3"/>
        <v>100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67</v>
      </c>
      <c r="G32" s="27">
        <v>100.0</v>
      </c>
      <c r="H32" s="28"/>
      <c r="I32" s="27">
        <f t="shared" si="3"/>
        <v>100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69</v>
      </c>
      <c r="G33" s="27">
        <v>50.0</v>
      </c>
      <c r="H33" s="27">
        <v>100.0</v>
      </c>
      <c r="I33" s="27">
        <f t="shared" si="3"/>
        <v>-50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70</v>
      </c>
      <c r="G34" s="27">
        <v>50.0</v>
      </c>
      <c r="H34" s="28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89</v>
      </c>
      <c r="G35" s="27">
        <v>125.0</v>
      </c>
      <c r="H35" s="27">
        <v>100.0</v>
      </c>
      <c r="I35" s="27">
        <f t="shared" si="3"/>
        <v>25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89</v>
      </c>
      <c r="G36" s="27">
        <v>125.0</v>
      </c>
      <c r="H36" s="28"/>
      <c r="I36" s="27">
        <f t="shared" si="3"/>
        <v>125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52</v>
      </c>
      <c r="G37" s="27">
        <v>125.0</v>
      </c>
      <c r="H37" s="28"/>
      <c r="I37" s="27">
        <f t="shared" si="3"/>
        <v>125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8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5" t="s">
        <v>53</v>
      </c>
      <c r="G39" s="29">
        <f t="shared" ref="G39:I39" si="4">SUM(G27:G38)</f>
        <v>1000</v>
      </c>
      <c r="H39" s="29">
        <f t="shared" si="4"/>
        <v>200</v>
      </c>
      <c r="I39" s="29">
        <f t="shared" si="4"/>
        <v>800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0"/>
      <c r="B45" s="28"/>
      <c r="C45" s="30"/>
      <c r="D45" s="3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5" t="s">
        <v>53</v>
      </c>
      <c r="B63" s="29">
        <f>SUM(B9:B62)</f>
        <v>0</v>
      </c>
      <c r="C63" s="31"/>
      <c r="D63" s="3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3">
    <cfRule type="cellIs" dxfId="0" priority="1" operator="lessThan">
      <formula>0</formula>
    </cfRule>
  </conditionalFormatting>
  <conditionalFormatting sqref="I27:I38">
    <cfRule type="cellIs" dxfId="0" priority="2" operator="lessThan">
      <formula>0</formula>
    </cfRule>
  </conditionalFormatting>
  <conditionalFormatting sqref="I27:I38">
    <cfRule type="cellIs" dxfId="1" priority="3" operator="greaterThan">
      <formula>0</formula>
    </cfRule>
  </conditionalFormatting>
  <conditionalFormatting sqref="I8:I23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600.0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8000.0</v>
      </c>
      <c r="E4" s="10"/>
      <c r="F4" s="14" t="s">
        <v>6</v>
      </c>
      <c r="G4" s="15" t="s">
        <v>7</v>
      </c>
      <c r="H4" s="8"/>
      <c r="I4" s="16">
        <f>SUM(B63,H39,H24)</f>
        <v>3987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650.0</v>
      </c>
      <c r="E5" s="4"/>
      <c r="F5" s="19" t="s">
        <v>10</v>
      </c>
      <c r="G5" s="20"/>
      <c r="H5" s="8"/>
      <c r="I5" s="21">
        <f>D6-I4</f>
        <v>5263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9250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1000.0</v>
      </c>
      <c r="I8" s="28">
        <f t="shared" ref="I8:I23" si="1">G8-H8</f>
        <v>-1000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>
        <v>500.0</v>
      </c>
      <c r="I9" s="28">
        <f t="shared" si="1"/>
        <v>380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>
        <v>378.0</v>
      </c>
      <c r="I11" s="28">
        <f t="shared" si="1"/>
        <v>-18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459.0</v>
      </c>
      <c r="I12" s="28">
        <f t="shared" si="1"/>
        <v>-139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500.0</v>
      </c>
      <c r="I14" s="28">
        <f t="shared" si="1"/>
        <v>500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32.0</v>
      </c>
      <c r="I15" s="28">
        <f t="shared" si="1"/>
        <v>-2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30.0</v>
      </c>
      <c r="H17" s="27">
        <v>91.0</v>
      </c>
      <c r="I17" s="28">
        <f t="shared" si="1"/>
        <v>-61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/>
      <c r="I19" s="28">
        <f t="shared" si="1"/>
        <v>400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100.0</v>
      </c>
      <c r="I20" s="28">
        <f t="shared" si="1"/>
        <v>900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G39</f>
        <v>1000</v>
      </c>
      <c r="H21" s="28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87</v>
      </c>
      <c r="G23" s="27">
        <v>500.0</v>
      </c>
      <c r="H23" s="27">
        <v>400.0</v>
      </c>
      <c r="I23" s="28">
        <f t="shared" si="1"/>
        <v>100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5" t="s">
        <v>53</v>
      </c>
      <c r="G24" s="29">
        <f t="shared" ref="G24:H24" si="2">SUM(G8:G23)</f>
        <v>6450</v>
      </c>
      <c r="H24" s="29">
        <f t="shared" si="2"/>
        <v>3987</v>
      </c>
      <c r="I24" s="29">
        <f>SUM(I9:I23)</f>
        <v>3463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88</v>
      </c>
      <c r="G26" s="25" t="s">
        <v>13</v>
      </c>
      <c r="H26" s="25" t="s">
        <v>14</v>
      </c>
      <c r="I26" s="25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6" t="s">
        <v>56</v>
      </c>
      <c r="G27" s="27">
        <v>50.0</v>
      </c>
      <c r="H27" s="27"/>
      <c r="I27" s="27">
        <f t="shared" ref="I27:I38" si="3">G27-H27</f>
        <v>50</v>
      </c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60</v>
      </c>
      <c r="G28" s="27">
        <v>50.0</v>
      </c>
      <c r="H28" s="27"/>
      <c r="I28" s="27">
        <f t="shared" si="3"/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63</v>
      </c>
      <c r="G29" s="27">
        <v>50.0</v>
      </c>
      <c r="H29" s="28"/>
      <c r="I29" s="27">
        <f t="shared" si="3"/>
        <v>50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65</v>
      </c>
      <c r="G30" s="27">
        <v>50.0</v>
      </c>
      <c r="H30" s="28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66</v>
      </c>
      <c r="G31" s="27">
        <v>100.0</v>
      </c>
      <c r="H31" s="27"/>
      <c r="I31" s="27">
        <f t="shared" si="3"/>
        <v>100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67</v>
      </c>
      <c r="G32" s="27">
        <v>100.0</v>
      </c>
      <c r="H32" s="28"/>
      <c r="I32" s="27">
        <f t="shared" si="3"/>
        <v>100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69</v>
      </c>
      <c r="G33" s="27">
        <v>50.0</v>
      </c>
      <c r="H33" s="27"/>
      <c r="I33" s="27">
        <f t="shared" si="3"/>
        <v>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70</v>
      </c>
      <c r="G34" s="27">
        <v>50.0</v>
      </c>
      <c r="H34" s="28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89</v>
      </c>
      <c r="G35" s="27">
        <v>125.0</v>
      </c>
      <c r="H35" s="27"/>
      <c r="I35" s="27">
        <f t="shared" si="3"/>
        <v>125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89</v>
      </c>
      <c r="G36" s="27">
        <v>125.0</v>
      </c>
      <c r="H36" s="28"/>
      <c r="I36" s="27">
        <f t="shared" si="3"/>
        <v>125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52</v>
      </c>
      <c r="G37" s="27">
        <v>125.0</v>
      </c>
      <c r="H37" s="28"/>
      <c r="I37" s="27">
        <f t="shared" si="3"/>
        <v>125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8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5" t="s">
        <v>53</v>
      </c>
      <c r="G39" s="29">
        <f t="shared" ref="G39:I39" si="4">SUM(G27:G38)</f>
        <v>1000</v>
      </c>
      <c r="H39" s="29">
        <f t="shared" si="4"/>
        <v>0</v>
      </c>
      <c r="I39" s="29">
        <f t="shared" si="4"/>
        <v>1000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0"/>
      <c r="B45" s="28"/>
      <c r="C45" s="30"/>
      <c r="D45" s="3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5" t="s">
        <v>53</v>
      </c>
      <c r="B63" s="29">
        <f>SUM(B9:B62)</f>
        <v>0</v>
      </c>
      <c r="C63" s="31"/>
      <c r="D63" s="3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3">
    <cfRule type="cellIs" dxfId="0" priority="1" operator="lessThan">
      <formula>0</formula>
    </cfRule>
  </conditionalFormatting>
  <conditionalFormatting sqref="I27:I38">
    <cfRule type="cellIs" dxfId="0" priority="2" operator="lessThan">
      <formula>0</formula>
    </cfRule>
  </conditionalFormatting>
  <conditionalFormatting sqref="I27:I38">
    <cfRule type="cellIs" dxfId="1" priority="3" operator="greaterThan">
      <formula>0</formula>
    </cfRule>
  </conditionalFormatting>
  <conditionalFormatting sqref="I8:I23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6000.0</v>
      </c>
      <c r="E4" s="10"/>
      <c r="F4" s="14" t="s">
        <v>6</v>
      </c>
      <c r="G4" s="15" t="s">
        <v>7</v>
      </c>
      <c r="H4" s="8"/>
      <c r="I4" s="16">
        <f>SUM(B64,H40,H25)</f>
        <v>6258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800.0</v>
      </c>
      <c r="E5" s="4"/>
      <c r="F5" s="19" t="s">
        <v>10</v>
      </c>
      <c r="G5" s="20"/>
      <c r="H5" s="8"/>
      <c r="I5" s="21">
        <f>D6-I4</f>
        <v>1542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7800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/>
      <c r="I8" s="28">
        <f t="shared" ref="I8:I22" si="1">G8-H8</f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>
        <v>300.0</v>
      </c>
      <c r="I9" s="28">
        <f t="shared" si="1"/>
        <v>580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>
        <v>410.0</v>
      </c>
      <c r="I11" s="28">
        <f t="shared" si="1"/>
        <v>-50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550.0</v>
      </c>
      <c r="I12" s="28">
        <f t="shared" si="1"/>
        <v>-230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1200.0</v>
      </c>
      <c r="I14" s="28">
        <f t="shared" si="1"/>
        <v>-200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33.0</v>
      </c>
      <c r="I15" s="28">
        <f t="shared" si="1"/>
        <v>-3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>
        <v>91.0</v>
      </c>
      <c r="I17" s="28">
        <f t="shared" si="1"/>
        <v>-1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>
        <v>0.0</v>
      </c>
      <c r="B18" s="27"/>
      <c r="C18" s="26"/>
      <c r="D18" s="26"/>
      <c r="E18" s="4"/>
      <c r="F18" s="26" t="s">
        <v>45</v>
      </c>
      <c r="G18" s="27">
        <v>400.0</v>
      </c>
      <c r="H18" s="27">
        <v>200.0</v>
      </c>
      <c r="I18" s="28">
        <f t="shared" si="1"/>
        <v>200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500.0</v>
      </c>
      <c r="I19" s="28">
        <f t="shared" si="1"/>
        <v>-100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G40</f>
        <v>1000</v>
      </c>
      <c r="H21" s="27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90</v>
      </c>
      <c r="G23" s="27">
        <v>100.0</v>
      </c>
      <c r="H23" s="27">
        <v>97.0</v>
      </c>
      <c r="I23" s="2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87</v>
      </c>
      <c r="G24" s="27">
        <v>500.0</v>
      </c>
      <c r="H24" s="27">
        <v>400.0</v>
      </c>
      <c r="I24" s="28">
        <f>G24-H24</f>
        <v>100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5" t="s">
        <v>53</v>
      </c>
      <c r="G25" s="29">
        <f t="shared" ref="G25:H25" si="2">SUM(G8:G24)</f>
        <v>6610</v>
      </c>
      <c r="H25" s="29">
        <f t="shared" si="2"/>
        <v>5308</v>
      </c>
      <c r="I25" s="29">
        <f>SUM(I9:I24)</f>
        <v>1299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5" t="s">
        <v>88</v>
      </c>
      <c r="G27" s="25" t="s">
        <v>13</v>
      </c>
      <c r="H27" s="25" t="s">
        <v>14</v>
      </c>
      <c r="I27" s="25" t="s">
        <v>15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56</v>
      </c>
      <c r="G28" s="27">
        <v>50.0</v>
      </c>
      <c r="H28" s="27"/>
      <c r="I28" s="27">
        <f t="shared" ref="I28:I39" si="3">G28-H28</f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60</v>
      </c>
      <c r="G29" s="27">
        <v>50.0</v>
      </c>
      <c r="H29" s="27"/>
      <c r="I29" s="27">
        <f t="shared" si="3"/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63</v>
      </c>
      <c r="G30" s="27">
        <v>50.0</v>
      </c>
      <c r="H30" s="28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65</v>
      </c>
      <c r="G31" s="27">
        <v>50.0</v>
      </c>
      <c r="H31" s="28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66</v>
      </c>
      <c r="G32" s="27">
        <v>100.0</v>
      </c>
      <c r="H32" s="27">
        <v>100.0</v>
      </c>
      <c r="I32" s="27">
        <f t="shared" si="3"/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67</v>
      </c>
      <c r="G33" s="27">
        <v>100.0</v>
      </c>
      <c r="H33" s="27">
        <v>100.0</v>
      </c>
      <c r="I33" s="27">
        <f t="shared" si="3"/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69</v>
      </c>
      <c r="G34" s="27">
        <v>50.0</v>
      </c>
      <c r="H34" s="27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70</v>
      </c>
      <c r="G35" s="27">
        <v>50.0</v>
      </c>
      <c r="H35" s="28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89</v>
      </c>
      <c r="G36" s="27">
        <v>125.0</v>
      </c>
      <c r="H36" s="27">
        <v>125.0</v>
      </c>
      <c r="I36" s="27">
        <f t="shared" si="3"/>
        <v>0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89</v>
      </c>
      <c r="G37" s="27">
        <v>125.0</v>
      </c>
      <c r="H37" s="27">
        <v>125.0</v>
      </c>
      <c r="I37" s="27">
        <f t="shared" si="3"/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7">
        <v>250.0</v>
      </c>
      <c r="I38" s="27">
        <f t="shared" si="3"/>
        <v>-125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>
        <v>250.0</v>
      </c>
      <c r="I39" s="27">
        <f t="shared" si="3"/>
        <v>-125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5" t="s">
        <v>53</v>
      </c>
      <c r="G40" s="29">
        <f t="shared" ref="G40:I40" si="4">SUM(G28:G39)</f>
        <v>1000</v>
      </c>
      <c r="H40" s="29">
        <f t="shared" si="4"/>
        <v>950</v>
      </c>
      <c r="I40" s="29">
        <f t="shared" si="4"/>
        <v>50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5" t="s">
        <v>53</v>
      </c>
      <c r="B64" s="29">
        <f>SUM(B9:B63)</f>
        <v>0</v>
      </c>
      <c r="C64" s="31"/>
      <c r="D64" s="3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4">
    <cfRule type="cellIs" dxfId="0" priority="1" operator="lessThan">
      <formula>0</formula>
    </cfRule>
  </conditionalFormatting>
  <conditionalFormatting sqref="I28:I39">
    <cfRule type="cellIs" dxfId="0" priority="2" operator="lessThan">
      <formula>0</formula>
    </cfRule>
  </conditionalFormatting>
  <conditionalFormatting sqref="I28:I39">
    <cfRule type="cellIs" dxfId="1" priority="3" operator="greaterThan">
      <formula>0</formula>
    </cfRule>
  </conditionalFormatting>
  <conditionalFormatting sqref="I8:I24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6300.0</v>
      </c>
      <c r="E4" s="10"/>
      <c r="F4" s="14" t="s">
        <v>6</v>
      </c>
      <c r="G4" s="15" t="s">
        <v>7</v>
      </c>
      <c r="H4" s="8"/>
      <c r="I4" s="16">
        <f>SUM(B64,H40,H25)</f>
        <v>6236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/>
      <c r="E5" s="4"/>
      <c r="F5" s="19" t="s">
        <v>10</v>
      </c>
      <c r="G5" s="20"/>
      <c r="H5" s="8"/>
      <c r="I5" s="21">
        <f>D6-I4</f>
        <v>1064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7300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350.0</v>
      </c>
      <c r="I8" s="28">
        <f t="shared" ref="I8:I22" si="1">G8-H8</f>
        <v>-350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>
        <v>450.0</v>
      </c>
      <c r="I9" s="28">
        <f t="shared" si="1"/>
        <v>430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750.0</v>
      </c>
      <c r="I10" s="28">
        <f t="shared" si="1"/>
        <v>-450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>
        <v>390.0</v>
      </c>
      <c r="I11" s="28">
        <f t="shared" si="1"/>
        <v>-30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394.0</v>
      </c>
      <c r="I12" s="28">
        <f t="shared" si="1"/>
        <v>-74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1300.0</v>
      </c>
      <c r="I14" s="28">
        <f t="shared" si="1"/>
        <v>-300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33.0</v>
      </c>
      <c r="I15" s="28">
        <f t="shared" si="1"/>
        <v>-3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>
        <v>92.0</v>
      </c>
      <c r="I17" s="28">
        <f t="shared" si="1"/>
        <v>-2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400.0</v>
      </c>
      <c r="I19" s="28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G40</f>
        <v>1000</v>
      </c>
      <c r="H21" s="27">
        <v>250.0</v>
      </c>
      <c r="I21" s="28">
        <f t="shared" si="1"/>
        <v>750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110.0</v>
      </c>
      <c r="I22" s="28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91</v>
      </c>
      <c r="G23" s="27">
        <v>100.0</v>
      </c>
      <c r="H23" s="27">
        <v>97.0</v>
      </c>
      <c r="I23" s="27">
        <v>100.0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87</v>
      </c>
      <c r="G24" s="27">
        <v>500.0</v>
      </c>
      <c r="H24" s="27">
        <v>500.0</v>
      </c>
      <c r="I24" s="28">
        <f>G24-H24</f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5" t="s">
        <v>53</v>
      </c>
      <c r="G25" s="29">
        <f t="shared" ref="G25:H25" si="2">SUM(G8:G24)</f>
        <v>6610</v>
      </c>
      <c r="H25" s="29">
        <f t="shared" si="2"/>
        <v>6236</v>
      </c>
      <c r="I25" s="29">
        <f>SUM(I9:I24)</f>
        <v>821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5" t="s">
        <v>88</v>
      </c>
      <c r="G27" s="25" t="s">
        <v>13</v>
      </c>
      <c r="H27" s="25" t="s">
        <v>14</v>
      </c>
      <c r="I27" s="25" t="s">
        <v>15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56</v>
      </c>
      <c r="G28" s="27">
        <v>50.0</v>
      </c>
      <c r="H28" s="27"/>
      <c r="I28" s="27">
        <f t="shared" ref="I28:I39" si="3">G28-H28</f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60</v>
      </c>
      <c r="G29" s="27">
        <v>50.0</v>
      </c>
      <c r="H29" s="27"/>
      <c r="I29" s="27">
        <f t="shared" si="3"/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63</v>
      </c>
      <c r="G30" s="27">
        <v>50.0</v>
      </c>
      <c r="H30" s="28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65</v>
      </c>
      <c r="G31" s="27">
        <v>50.0</v>
      </c>
      <c r="H31" s="28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66</v>
      </c>
      <c r="G32" s="27">
        <v>100.0</v>
      </c>
      <c r="H32" s="27"/>
      <c r="I32" s="27">
        <f t="shared" si="3"/>
        <v>100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67</v>
      </c>
      <c r="G33" s="27">
        <v>100.0</v>
      </c>
      <c r="H33" s="28"/>
      <c r="I33" s="27">
        <f t="shared" si="3"/>
        <v>100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69</v>
      </c>
      <c r="G34" s="27">
        <v>50.0</v>
      </c>
      <c r="H34" s="27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70</v>
      </c>
      <c r="G35" s="27">
        <v>50.0</v>
      </c>
      <c r="H35" s="28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89</v>
      </c>
      <c r="G36" s="27">
        <v>125.0</v>
      </c>
      <c r="H36" s="27"/>
      <c r="I36" s="27">
        <f t="shared" si="3"/>
        <v>125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89</v>
      </c>
      <c r="G37" s="27">
        <v>125.0</v>
      </c>
      <c r="H37" s="28"/>
      <c r="I37" s="27">
        <f t="shared" si="3"/>
        <v>125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8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8"/>
      <c r="I39" s="27">
        <f t="shared" si="3"/>
        <v>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5" t="s">
        <v>53</v>
      </c>
      <c r="G40" s="29">
        <f t="shared" ref="G40:I40" si="4">SUM(G28:G39)</f>
        <v>1000</v>
      </c>
      <c r="H40" s="29">
        <f t="shared" si="4"/>
        <v>0</v>
      </c>
      <c r="I40" s="29">
        <f t="shared" si="4"/>
        <v>1000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5" t="s">
        <v>53</v>
      </c>
      <c r="B64" s="29">
        <f>SUM(B9:B63)</f>
        <v>0</v>
      </c>
      <c r="C64" s="31"/>
      <c r="D64" s="3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4">
    <cfRule type="cellIs" dxfId="0" priority="1" operator="lessThan">
      <formula>0</formula>
    </cfRule>
  </conditionalFormatting>
  <conditionalFormatting sqref="I28:I39">
    <cfRule type="cellIs" dxfId="0" priority="2" operator="lessThan">
      <formula>0</formula>
    </cfRule>
  </conditionalFormatting>
  <conditionalFormatting sqref="I28:I39">
    <cfRule type="cellIs" dxfId="1" priority="3" operator="greaterThan">
      <formula>0</formula>
    </cfRule>
  </conditionalFormatting>
  <conditionalFormatting sqref="I8:I24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6430.0</v>
      </c>
      <c r="E4" s="10"/>
      <c r="F4" s="14" t="s">
        <v>6</v>
      </c>
      <c r="G4" s="15" t="s">
        <v>7</v>
      </c>
      <c r="H4" s="8"/>
      <c r="I4" s="16">
        <f>SUM(B64,H40,H25)</f>
        <v>9637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830.0</v>
      </c>
      <c r="E5" s="4"/>
      <c r="F5" s="19" t="s">
        <v>10</v>
      </c>
      <c r="G5" s="20"/>
      <c r="H5" s="8"/>
      <c r="I5" s="21">
        <f>D6-I4</f>
        <v>-1377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8260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1067.0</v>
      </c>
      <c r="I8" s="28">
        <f t="shared" ref="I8:I22" si="1">G8-H8</f>
        <v>-1067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92</v>
      </c>
      <c r="B9" s="27">
        <v>10.0</v>
      </c>
      <c r="C9" s="26" t="s">
        <v>93</v>
      </c>
      <c r="D9" s="26" t="s">
        <v>94</v>
      </c>
      <c r="E9" s="4"/>
      <c r="F9" s="26" t="s">
        <v>24</v>
      </c>
      <c r="G9" s="27">
        <v>880.0</v>
      </c>
      <c r="H9" s="27">
        <v>800.0</v>
      </c>
      <c r="I9" s="28">
        <f t="shared" si="1"/>
        <v>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95</v>
      </c>
      <c r="B10" s="27">
        <v>30.0</v>
      </c>
      <c r="C10" s="26" t="s">
        <v>93</v>
      </c>
      <c r="D10" s="26" t="s">
        <v>94</v>
      </c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96</v>
      </c>
      <c r="B11" s="27">
        <v>21.0</v>
      </c>
      <c r="C11" s="26" t="s">
        <v>97</v>
      </c>
      <c r="D11" s="26" t="s">
        <v>98</v>
      </c>
      <c r="E11" s="4"/>
      <c r="F11" s="26" t="s">
        <v>31</v>
      </c>
      <c r="G11" s="27">
        <v>360.0</v>
      </c>
      <c r="H11" s="27">
        <v>375.0</v>
      </c>
      <c r="I11" s="28">
        <f t="shared" si="1"/>
        <v>-15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 t="s">
        <v>99</v>
      </c>
      <c r="B12" s="27">
        <v>14.0</v>
      </c>
      <c r="C12" s="26" t="s">
        <v>93</v>
      </c>
      <c r="D12" s="26" t="s">
        <v>94</v>
      </c>
      <c r="E12" s="4"/>
      <c r="F12" s="26" t="s">
        <v>33</v>
      </c>
      <c r="G12" s="27">
        <v>320.0</v>
      </c>
      <c r="H12" s="27">
        <v>507.0</v>
      </c>
      <c r="I12" s="28">
        <f t="shared" si="1"/>
        <v>-187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 t="s">
        <v>100</v>
      </c>
      <c r="B13" s="27">
        <v>74.0</v>
      </c>
      <c r="C13" s="26" t="s">
        <v>97</v>
      </c>
      <c r="D13" s="26" t="s">
        <v>101</v>
      </c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 t="s">
        <v>102</v>
      </c>
      <c r="B14" s="27">
        <v>24.0</v>
      </c>
      <c r="C14" s="26" t="s">
        <v>93</v>
      </c>
      <c r="D14" s="26" t="s">
        <v>101</v>
      </c>
      <c r="E14" s="4"/>
      <c r="F14" s="26" t="s">
        <v>36</v>
      </c>
      <c r="G14" s="27">
        <v>1000.0</v>
      </c>
      <c r="H14" s="27">
        <v>1248.0</v>
      </c>
      <c r="I14" s="28">
        <f t="shared" si="1"/>
        <v>-248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 t="s">
        <v>103</v>
      </c>
      <c r="B15" s="27">
        <v>130.0</v>
      </c>
      <c r="C15" s="26" t="s">
        <v>104</v>
      </c>
      <c r="D15" s="26" t="s">
        <v>105</v>
      </c>
      <c r="E15" s="4"/>
      <c r="F15" s="26" t="s">
        <v>39</v>
      </c>
      <c r="G15" s="27">
        <v>30.0</v>
      </c>
      <c r="H15" s="27">
        <v>36.0</v>
      </c>
      <c r="I15" s="28">
        <f t="shared" si="1"/>
        <v>-6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 t="s">
        <v>29</v>
      </c>
      <c r="B16" s="27">
        <v>9.0</v>
      </c>
      <c r="C16" s="26" t="s">
        <v>104</v>
      </c>
      <c r="D16" s="26" t="s">
        <v>106</v>
      </c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 t="s">
        <v>29</v>
      </c>
      <c r="B17" s="27">
        <v>39.0</v>
      </c>
      <c r="C17" s="26" t="s">
        <v>104</v>
      </c>
      <c r="D17" s="26" t="s">
        <v>106</v>
      </c>
      <c r="E17" s="4"/>
      <c r="F17" s="26" t="s">
        <v>43</v>
      </c>
      <c r="G17" s="27">
        <v>90.0</v>
      </c>
      <c r="H17" s="27"/>
      <c r="I17" s="28">
        <f t="shared" si="1"/>
        <v>90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 t="s">
        <v>107</v>
      </c>
      <c r="B18" s="27">
        <v>60.0</v>
      </c>
      <c r="C18" s="26" t="s">
        <v>97</v>
      </c>
      <c r="D18" s="26" t="s">
        <v>106</v>
      </c>
      <c r="E18" s="4"/>
      <c r="F18" s="26" t="s">
        <v>45</v>
      </c>
      <c r="G18" s="27">
        <v>400.0</v>
      </c>
      <c r="H18" s="27">
        <v>0.0</v>
      </c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 t="s">
        <v>108</v>
      </c>
      <c r="B19" s="27">
        <v>90.0</v>
      </c>
      <c r="C19" s="26" t="s">
        <v>104</v>
      </c>
      <c r="D19" s="26" t="s">
        <v>109</v>
      </c>
      <c r="E19" s="4"/>
      <c r="F19" s="26" t="s">
        <v>47</v>
      </c>
      <c r="G19" s="27">
        <v>400.0</v>
      </c>
      <c r="H19" s="27">
        <v>400.0</v>
      </c>
      <c r="I19" s="28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 t="s">
        <v>29</v>
      </c>
      <c r="B20" s="27">
        <v>15.0</v>
      </c>
      <c r="C20" s="26" t="s">
        <v>97</v>
      </c>
      <c r="D20" s="26" t="s">
        <v>106</v>
      </c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 t="s">
        <v>110</v>
      </c>
      <c r="B21" s="27">
        <v>120.0</v>
      </c>
      <c r="C21" s="26" t="s">
        <v>97</v>
      </c>
      <c r="D21" s="26" t="s">
        <v>110</v>
      </c>
      <c r="E21" s="4"/>
      <c r="F21" s="26" t="s">
        <v>48</v>
      </c>
      <c r="G21" s="27">
        <f>G40</f>
        <v>1000</v>
      </c>
      <c r="H21" s="27">
        <v>1000.0</v>
      </c>
      <c r="I21" s="28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 t="s">
        <v>111</v>
      </c>
      <c r="B22" s="27">
        <v>80.0</v>
      </c>
      <c r="C22" s="26" t="s">
        <v>104</v>
      </c>
      <c r="D22" s="26" t="s">
        <v>94</v>
      </c>
      <c r="E22" s="4"/>
      <c r="F22" s="26" t="s">
        <v>50</v>
      </c>
      <c r="G22" s="27">
        <v>110.0</v>
      </c>
      <c r="H22" s="27">
        <v>110.0</v>
      </c>
      <c r="I22" s="28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 t="s">
        <v>110</v>
      </c>
      <c r="B23" s="27">
        <v>100.0</v>
      </c>
      <c r="C23" s="26" t="s">
        <v>104</v>
      </c>
      <c r="D23" s="26" t="s">
        <v>110</v>
      </c>
      <c r="E23" s="4"/>
      <c r="F23" s="26" t="s">
        <v>91</v>
      </c>
      <c r="G23" s="27">
        <v>100.0</v>
      </c>
      <c r="H23" s="27">
        <v>0.0</v>
      </c>
      <c r="I23" s="27">
        <v>100.0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 t="s">
        <v>112</v>
      </c>
      <c r="B24" s="27">
        <v>100.0</v>
      </c>
      <c r="C24" s="26" t="s">
        <v>104</v>
      </c>
      <c r="D24" s="26" t="s">
        <v>94</v>
      </c>
      <c r="E24" s="4"/>
      <c r="F24" s="26" t="s">
        <v>87</v>
      </c>
      <c r="G24" s="27">
        <v>500.0</v>
      </c>
      <c r="H24" s="27">
        <v>500.0</v>
      </c>
      <c r="I24" s="28">
        <f>G24-H24</f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 t="s">
        <v>29</v>
      </c>
      <c r="B25" s="27">
        <v>100.0</v>
      </c>
      <c r="C25" s="26" t="s">
        <v>104</v>
      </c>
      <c r="D25" s="26" t="s">
        <v>106</v>
      </c>
      <c r="E25" s="4"/>
      <c r="F25" s="25" t="s">
        <v>53</v>
      </c>
      <c r="G25" s="29">
        <f t="shared" ref="G25:H25" si="2">SUM(G8:G24)</f>
        <v>6610</v>
      </c>
      <c r="H25" s="29">
        <f t="shared" si="2"/>
        <v>7463</v>
      </c>
      <c r="I25" s="29">
        <f>SUM(I9:I24)</f>
        <v>214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 t="s">
        <v>113</v>
      </c>
      <c r="B26" s="27">
        <v>100.0</v>
      </c>
      <c r="C26" s="26" t="s">
        <v>104</v>
      </c>
      <c r="D26" s="26" t="s">
        <v>94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 t="s">
        <v>29</v>
      </c>
      <c r="B27" s="27">
        <v>40.0</v>
      </c>
      <c r="C27" s="26" t="s">
        <v>104</v>
      </c>
      <c r="D27" s="26" t="s">
        <v>106</v>
      </c>
      <c r="E27" s="4"/>
      <c r="F27" s="25" t="s">
        <v>88</v>
      </c>
      <c r="G27" s="25" t="s">
        <v>13</v>
      </c>
      <c r="H27" s="25" t="s">
        <v>14</v>
      </c>
      <c r="I27" s="25" t="s">
        <v>15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 t="s">
        <v>112</v>
      </c>
      <c r="B28" s="27">
        <v>100.0</v>
      </c>
      <c r="C28" s="26" t="s">
        <v>104</v>
      </c>
      <c r="D28" s="26" t="s">
        <v>94</v>
      </c>
      <c r="E28" s="4"/>
      <c r="F28" s="26" t="s">
        <v>56</v>
      </c>
      <c r="G28" s="27">
        <v>50.0</v>
      </c>
      <c r="H28" s="27">
        <v>50.0</v>
      </c>
      <c r="I28" s="27">
        <f t="shared" ref="I28:I39" si="3">G28-H28</f>
        <v>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60</v>
      </c>
      <c r="G29" s="27">
        <v>50.0</v>
      </c>
      <c r="H29" s="27">
        <v>50.0</v>
      </c>
      <c r="I29" s="27">
        <f t="shared" si="3"/>
        <v>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63</v>
      </c>
      <c r="G30" s="27">
        <v>50.0</v>
      </c>
      <c r="H30" s="27">
        <v>50.0</v>
      </c>
      <c r="I30" s="27">
        <f t="shared" si="3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65</v>
      </c>
      <c r="G31" s="27">
        <v>50.0</v>
      </c>
      <c r="H31" s="27">
        <v>50.0</v>
      </c>
      <c r="I31" s="27">
        <f t="shared" si="3"/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66</v>
      </c>
      <c r="G32" s="27">
        <v>100.0</v>
      </c>
      <c r="H32" s="27">
        <v>100.0</v>
      </c>
      <c r="I32" s="27">
        <f t="shared" si="3"/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67</v>
      </c>
      <c r="G33" s="27">
        <v>100.0</v>
      </c>
      <c r="H33" s="27">
        <v>100.0</v>
      </c>
      <c r="I33" s="27">
        <f t="shared" si="3"/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69</v>
      </c>
      <c r="G34" s="27">
        <v>50.0</v>
      </c>
      <c r="H34" s="27">
        <v>43.0</v>
      </c>
      <c r="I34" s="27">
        <f t="shared" si="3"/>
        <v>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70</v>
      </c>
      <c r="G35" s="27">
        <v>50.0</v>
      </c>
      <c r="H35" s="27">
        <v>50.0</v>
      </c>
      <c r="I35" s="27">
        <f t="shared" si="3"/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114</v>
      </c>
      <c r="G36" s="27">
        <v>125.0</v>
      </c>
      <c r="H36" s="27">
        <v>50.0</v>
      </c>
      <c r="I36" s="27">
        <f t="shared" si="3"/>
        <v>75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114</v>
      </c>
      <c r="G37" s="27">
        <v>125.0</v>
      </c>
      <c r="H37" s="27">
        <v>125.0</v>
      </c>
      <c r="I37" s="27">
        <f t="shared" si="3"/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7">
        <v>125.0</v>
      </c>
      <c r="I38" s="27">
        <f t="shared" si="3"/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>
        <v>125.0</v>
      </c>
      <c r="I39" s="27">
        <f t="shared" si="3"/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5" t="s">
        <v>53</v>
      </c>
      <c r="G40" s="29">
        <f t="shared" ref="G40:I40" si="4">SUM(G28:G39)</f>
        <v>1000</v>
      </c>
      <c r="H40" s="29">
        <f t="shared" si="4"/>
        <v>918</v>
      </c>
      <c r="I40" s="29">
        <f t="shared" si="4"/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5" t="s">
        <v>53</v>
      </c>
      <c r="B64" s="29">
        <f>SUM(B9:B63)</f>
        <v>1256</v>
      </c>
      <c r="C64" s="31"/>
      <c r="D64" s="3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4">
    <cfRule type="cellIs" dxfId="0" priority="1" operator="lessThan">
      <formula>0</formula>
    </cfRule>
  </conditionalFormatting>
  <conditionalFormatting sqref="I28:I39">
    <cfRule type="cellIs" dxfId="0" priority="2" operator="lessThan">
      <formula>0</formula>
    </cfRule>
  </conditionalFormatting>
  <conditionalFormatting sqref="I28:I39">
    <cfRule type="cellIs" dxfId="1" priority="3" operator="greaterThan">
      <formula>0</formula>
    </cfRule>
  </conditionalFormatting>
  <conditionalFormatting sqref="I8:I24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1100.0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6443.0</v>
      </c>
      <c r="E4" s="10"/>
      <c r="F4" s="14" t="s">
        <v>6</v>
      </c>
      <c r="G4" s="15" t="s">
        <v>7</v>
      </c>
      <c r="H4" s="8"/>
      <c r="I4" s="16">
        <f>SUM(B64,H40,H25)</f>
        <v>7218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800.0</v>
      </c>
      <c r="E5" s="4"/>
      <c r="F5" s="19" t="s">
        <v>10</v>
      </c>
      <c r="G5" s="20"/>
      <c r="H5" s="8"/>
      <c r="I5" s="21">
        <f>D6-I4</f>
        <v>1125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8343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1191.0</v>
      </c>
      <c r="I8" s="28">
        <f t="shared" ref="I8:I22" si="1">G8-H8</f>
        <v>-1191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115</v>
      </c>
      <c r="B9" s="27">
        <v>20.0</v>
      </c>
      <c r="C9" s="26" t="s">
        <v>104</v>
      </c>
      <c r="D9" s="26" t="s">
        <v>27</v>
      </c>
      <c r="E9" s="4"/>
      <c r="F9" s="26" t="s">
        <v>24</v>
      </c>
      <c r="G9" s="27">
        <v>880.0</v>
      </c>
      <c r="H9" s="27">
        <v>800.0</v>
      </c>
      <c r="I9" s="28">
        <f t="shared" si="1"/>
        <v>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29</v>
      </c>
      <c r="B10" s="27">
        <v>15.0</v>
      </c>
      <c r="C10" s="26" t="s">
        <v>104</v>
      </c>
      <c r="D10" s="26" t="s">
        <v>106</v>
      </c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116</v>
      </c>
      <c r="B11" s="27">
        <v>46.0</v>
      </c>
      <c r="C11" s="26" t="s">
        <v>104</v>
      </c>
      <c r="D11" s="26" t="s">
        <v>94</v>
      </c>
      <c r="E11" s="4"/>
      <c r="F11" s="26" t="s">
        <v>31</v>
      </c>
      <c r="G11" s="27">
        <v>360.0</v>
      </c>
      <c r="H11" s="27">
        <v>345.0</v>
      </c>
      <c r="I11" s="28">
        <f t="shared" si="1"/>
        <v>15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 t="s">
        <v>117</v>
      </c>
      <c r="B12" s="27">
        <v>15.0</v>
      </c>
      <c r="C12" s="26" t="s">
        <v>104</v>
      </c>
      <c r="D12" s="26" t="s">
        <v>106</v>
      </c>
      <c r="E12" s="4"/>
      <c r="F12" s="26" t="s">
        <v>33</v>
      </c>
      <c r="G12" s="27">
        <v>320.0</v>
      </c>
      <c r="H12" s="27">
        <v>500.0</v>
      </c>
      <c r="I12" s="28">
        <f t="shared" si="1"/>
        <v>-180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 t="s">
        <v>118</v>
      </c>
      <c r="B13" s="27">
        <v>300.0</v>
      </c>
      <c r="C13" s="26" t="s">
        <v>104</v>
      </c>
      <c r="D13" s="26" t="s">
        <v>118</v>
      </c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1340.0</v>
      </c>
      <c r="I14" s="28">
        <f t="shared" si="1"/>
        <v>-340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36.0</v>
      </c>
      <c r="I15" s="28">
        <f t="shared" si="1"/>
        <v>-6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/>
      <c r="I16" s="28">
        <f t="shared" si="1"/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/>
      <c r="I17" s="28">
        <f t="shared" si="1"/>
        <v>90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>
        <v>0.0</v>
      </c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500.0</v>
      </c>
      <c r="I19" s="28">
        <f t="shared" si="1"/>
        <v>-100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1100.0</v>
      </c>
      <c r="I20" s="28">
        <f t="shared" si="1"/>
        <v>-100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G40</f>
        <v>1000</v>
      </c>
      <c r="H21" s="27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110.0</v>
      </c>
      <c r="I22" s="28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91</v>
      </c>
      <c r="G23" s="27">
        <v>100.0</v>
      </c>
      <c r="H23" s="27">
        <v>0.0</v>
      </c>
      <c r="I23" s="27">
        <v>100.0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87</v>
      </c>
      <c r="G24" s="27">
        <v>500.0</v>
      </c>
      <c r="H24" s="27">
        <v>500.0</v>
      </c>
      <c r="I24" s="28">
        <f>G24-H24</f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5" t="s">
        <v>53</v>
      </c>
      <c r="G25" s="29">
        <f t="shared" ref="G25:H25" si="2">SUM(G8:G24)</f>
        <v>6610</v>
      </c>
      <c r="H25" s="29">
        <f t="shared" si="2"/>
        <v>6822</v>
      </c>
      <c r="I25" s="29">
        <f>SUM(I9:I24)</f>
        <v>979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25" t="s">
        <v>88</v>
      </c>
      <c r="G27" s="25" t="s">
        <v>13</v>
      </c>
      <c r="H27" s="25" t="s">
        <v>14</v>
      </c>
      <c r="I27" s="25" t="s">
        <v>15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6" t="s">
        <v>56</v>
      </c>
      <c r="G28" s="27">
        <v>50.0</v>
      </c>
      <c r="H28" s="27"/>
      <c r="I28" s="27">
        <f t="shared" ref="I28:I39" si="3">G28-H28</f>
        <v>50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60</v>
      </c>
      <c r="G29" s="27">
        <v>50.0</v>
      </c>
      <c r="H29" s="27"/>
      <c r="I29" s="27">
        <f t="shared" si="3"/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63</v>
      </c>
      <c r="G30" s="27">
        <v>50.0</v>
      </c>
      <c r="H30" s="27"/>
      <c r="I30" s="27">
        <f t="shared" si="3"/>
        <v>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65</v>
      </c>
      <c r="G31" s="27">
        <v>50.0</v>
      </c>
      <c r="H31" s="27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66</v>
      </c>
      <c r="G32" s="27">
        <v>100.0</v>
      </c>
      <c r="H32" s="27"/>
      <c r="I32" s="27">
        <f t="shared" si="3"/>
        <v>100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67</v>
      </c>
      <c r="G33" s="27">
        <v>100.0</v>
      </c>
      <c r="H33" s="27"/>
      <c r="I33" s="27">
        <f t="shared" si="3"/>
        <v>100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69</v>
      </c>
      <c r="G34" s="27">
        <v>50.0</v>
      </c>
      <c r="H34" s="27"/>
      <c r="I34" s="27">
        <f t="shared" si="3"/>
        <v>50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70</v>
      </c>
      <c r="G35" s="27">
        <v>50.0</v>
      </c>
      <c r="H35" s="27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114</v>
      </c>
      <c r="G36" s="27">
        <v>125.0</v>
      </c>
      <c r="H36" s="27"/>
      <c r="I36" s="27">
        <f t="shared" si="3"/>
        <v>125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114</v>
      </c>
      <c r="G37" s="27">
        <v>125.0</v>
      </c>
      <c r="H37" s="27"/>
      <c r="I37" s="27">
        <f t="shared" si="3"/>
        <v>125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52</v>
      </c>
      <c r="G38" s="27">
        <v>125.0</v>
      </c>
      <c r="H38" s="27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/>
      <c r="I39" s="27">
        <f t="shared" si="3"/>
        <v>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5" t="s">
        <v>53</v>
      </c>
      <c r="G40" s="29">
        <f t="shared" ref="G40:I40" si="4">SUM(G28:G39)</f>
        <v>1000</v>
      </c>
      <c r="H40" s="29">
        <f t="shared" si="4"/>
        <v>0</v>
      </c>
      <c r="I40" s="29">
        <f t="shared" si="4"/>
        <v>1000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0"/>
      <c r="B46" s="28"/>
      <c r="C46" s="30"/>
      <c r="D46" s="3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5" t="s">
        <v>53</v>
      </c>
      <c r="B64" s="29">
        <f>SUM(B9:B63)</f>
        <v>396</v>
      </c>
      <c r="C64" s="31"/>
      <c r="D64" s="3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4">
    <cfRule type="cellIs" dxfId="0" priority="1" operator="lessThan">
      <formula>0</formula>
    </cfRule>
  </conditionalFormatting>
  <conditionalFormatting sqref="I28:I39">
    <cfRule type="cellIs" dxfId="0" priority="2" operator="lessThan">
      <formula>0</formula>
    </cfRule>
  </conditionalFormatting>
  <conditionalFormatting sqref="I28:I39">
    <cfRule type="cellIs" dxfId="1" priority="3" operator="greaterThan">
      <formula>0</formula>
    </cfRule>
  </conditionalFormatting>
  <conditionalFormatting sqref="I8:I24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1100.0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6440.0</v>
      </c>
      <c r="E4" s="10"/>
      <c r="F4" s="14" t="s">
        <v>6</v>
      </c>
      <c r="G4" s="15" t="s">
        <v>7</v>
      </c>
      <c r="H4" s="8"/>
      <c r="I4" s="16">
        <f>SUM(B65,H41,H26)</f>
        <v>6906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822.0</v>
      </c>
      <c r="E5" s="4"/>
      <c r="F5" s="19" t="s">
        <v>10</v>
      </c>
      <c r="G5" s="20"/>
      <c r="H5" s="8"/>
      <c r="I5" s="21">
        <f>D6-I4</f>
        <v>1456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8362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1500.0</v>
      </c>
      <c r="I8" s="28">
        <f t="shared" ref="I8:I25" si="1">G8-H8</f>
        <v>-1500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119</v>
      </c>
      <c r="B9" s="27">
        <v>60.0</v>
      </c>
      <c r="C9" s="26" t="s">
        <v>26</v>
      </c>
      <c r="D9" s="26" t="s">
        <v>120</v>
      </c>
      <c r="E9" s="4"/>
      <c r="F9" s="26" t="s">
        <v>24</v>
      </c>
      <c r="G9" s="27">
        <v>880.0</v>
      </c>
      <c r="H9" s="27">
        <v>880.0</v>
      </c>
      <c r="I9" s="28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121</v>
      </c>
      <c r="B10" s="27">
        <v>30.0</v>
      </c>
      <c r="C10" s="26" t="s">
        <v>22</v>
      </c>
      <c r="D10" s="26" t="s">
        <v>106</v>
      </c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110</v>
      </c>
      <c r="B11" s="27">
        <v>120.0</v>
      </c>
      <c r="C11" s="26" t="s">
        <v>26</v>
      </c>
      <c r="D11" s="26" t="s">
        <v>110</v>
      </c>
      <c r="E11" s="4"/>
      <c r="F11" s="26" t="s">
        <v>31</v>
      </c>
      <c r="G11" s="27">
        <v>360.0</v>
      </c>
      <c r="H11" s="27">
        <v>386.0</v>
      </c>
      <c r="I11" s="28">
        <f t="shared" si="1"/>
        <v>-26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 t="s">
        <v>122</v>
      </c>
      <c r="B12" s="27">
        <v>100.0</v>
      </c>
      <c r="C12" s="26" t="s">
        <v>26</v>
      </c>
      <c r="D12" s="26" t="s">
        <v>123</v>
      </c>
      <c r="E12" s="4"/>
      <c r="F12" s="26" t="s">
        <v>33</v>
      </c>
      <c r="G12" s="27">
        <v>320.0</v>
      </c>
      <c r="H12" s="27">
        <v>405.0</v>
      </c>
      <c r="I12" s="28">
        <f t="shared" si="1"/>
        <v>-85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1224.0</v>
      </c>
      <c r="I14" s="28">
        <f t="shared" si="1"/>
        <v>-224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36.0</v>
      </c>
      <c r="I15" s="28">
        <f t="shared" si="1"/>
        <v>-6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0.0</v>
      </c>
      <c r="I16" s="28">
        <f t="shared" si="1"/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/>
      <c r="I17" s="28">
        <f t="shared" si="1"/>
        <v>90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480.0</v>
      </c>
      <c r="I19" s="28">
        <f t="shared" si="1"/>
        <v>-80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G41</f>
        <v>1000</v>
      </c>
      <c r="H21" s="27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91</v>
      </c>
      <c r="G23" s="27">
        <v>100.0</v>
      </c>
      <c r="H23" s="27">
        <v>178.0</v>
      </c>
      <c r="I23" s="27">
        <f t="shared" si="1"/>
        <v>-78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124</v>
      </c>
      <c r="G24" s="27">
        <v>100.0</v>
      </c>
      <c r="H24" s="27"/>
      <c r="I24" s="28">
        <f t="shared" si="1"/>
        <v>100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6" t="s">
        <v>87</v>
      </c>
      <c r="G25" s="27">
        <v>500.0</v>
      </c>
      <c r="H25" s="27">
        <v>0.0</v>
      </c>
      <c r="I25" s="28">
        <f t="shared" si="1"/>
        <v>500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53</v>
      </c>
      <c r="G26" s="29">
        <f t="shared" ref="G26:H26" si="2">SUM(G8:G25)</f>
        <v>6710</v>
      </c>
      <c r="H26" s="29">
        <f t="shared" si="2"/>
        <v>6596</v>
      </c>
      <c r="I26" s="29">
        <f>SUM(I9:I25)</f>
        <v>1614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5" t="s">
        <v>88</v>
      </c>
      <c r="G28" s="25" t="s">
        <v>13</v>
      </c>
      <c r="H28" s="25" t="s">
        <v>14</v>
      </c>
      <c r="I28" s="25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56</v>
      </c>
      <c r="G29" s="27">
        <v>50.0</v>
      </c>
      <c r="H29" s="27"/>
      <c r="I29" s="27">
        <f t="shared" ref="I29:I40" si="3">G29-H29</f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60</v>
      </c>
      <c r="G30" s="27">
        <v>50.0</v>
      </c>
      <c r="H30" s="27"/>
      <c r="I30" s="27">
        <f t="shared" si="3"/>
        <v>50</v>
      </c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63</v>
      </c>
      <c r="G31" s="27">
        <v>50.0</v>
      </c>
      <c r="H31" s="27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65</v>
      </c>
      <c r="G32" s="27">
        <v>50.0</v>
      </c>
      <c r="H32" s="27"/>
      <c r="I32" s="27">
        <f t="shared" si="3"/>
        <v>50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66</v>
      </c>
      <c r="G33" s="27">
        <v>100.0</v>
      </c>
      <c r="H33" s="27"/>
      <c r="I33" s="27">
        <f t="shared" si="3"/>
        <v>100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67</v>
      </c>
      <c r="G34" s="27">
        <v>100.0</v>
      </c>
      <c r="H34" s="27"/>
      <c r="I34" s="27">
        <f t="shared" si="3"/>
        <v>100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69</v>
      </c>
      <c r="G35" s="27">
        <v>50.0</v>
      </c>
      <c r="H35" s="27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70</v>
      </c>
      <c r="G36" s="27">
        <v>50.0</v>
      </c>
      <c r="H36" s="27"/>
      <c r="I36" s="27">
        <f t="shared" si="3"/>
        <v>50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114</v>
      </c>
      <c r="G37" s="27">
        <v>125.0</v>
      </c>
      <c r="H37" s="27"/>
      <c r="I37" s="27">
        <f t="shared" si="3"/>
        <v>125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114</v>
      </c>
      <c r="G38" s="27">
        <v>125.0</v>
      </c>
      <c r="H38" s="27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/>
      <c r="I39" s="27">
        <f t="shared" si="3"/>
        <v>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6" t="s">
        <v>52</v>
      </c>
      <c r="G40" s="27">
        <v>125.0</v>
      </c>
      <c r="H40" s="27"/>
      <c r="I40" s="27">
        <f t="shared" si="3"/>
        <v>125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25" t="s">
        <v>53</v>
      </c>
      <c r="G41" s="29">
        <f t="shared" ref="G41:I41" si="4">SUM(G29:G40)</f>
        <v>1000</v>
      </c>
      <c r="H41" s="29">
        <f t="shared" si="4"/>
        <v>0</v>
      </c>
      <c r="I41" s="29">
        <f t="shared" si="4"/>
        <v>1000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6"/>
      <c r="B46" s="27"/>
      <c r="C46" s="26"/>
      <c r="D46" s="2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0"/>
      <c r="B64" s="28"/>
      <c r="C64" s="30"/>
      <c r="D64" s="3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5" t="s">
        <v>53</v>
      </c>
      <c r="B65" s="29">
        <f>SUM(B9:B64)</f>
        <v>310</v>
      </c>
      <c r="C65" s="31"/>
      <c r="D65" s="3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5">
    <cfRule type="cellIs" dxfId="0" priority="1" operator="lessThan">
      <formula>0</formula>
    </cfRule>
  </conditionalFormatting>
  <conditionalFormatting sqref="I29:I40">
    <cfRule type="cellIs" dxfId="0" priority="2" operator="lessThan">
      <formula>0</formula>
    </cfRule>
  </conditionalFormatting>
  <conditionalFormatting sqref="I29:I40">
    <cfRule type="cellIs" dxfId="1" priority="3" operator="greaterThan">
      <formula>0</formula>
    </cfRule>
  </conditionalFormatting>
  <conditionalFormatting sqref="I8:I25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/>
      <c r="E4" s="10"/>
      <c r="F4" s="14" t="s">
        <v>6</v>
      </c>
      <c r="G4" s="15" t="s">
        <v>7</v>
      </c>
      <c r="H4" s="8"/>
      <c r="I4" s="16">
        <f>SUM(B65,H41,H26)</f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/>
      <c r="E5" s="4"/>
      <c r="F5" s="19" t="s">
        <v>10</v>
      </c>
      <c r="G5" s="20"/>
      <c r="H5" s="8"/>
      <c r="I5" s="21">
        <f>D6-I4</f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/>
      <c r="I8" s="28">
        <f t="shared" ref="I8:I25" si="1">G8-H8</f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/>
      <c r="D9" s="26"/>
      <c r="E9" s="4"/>
      <c r="F9" s="26" t="s">
        <v>24</v>
      </c>
      <c r="G9" s="27">
        <v>880.0</v>
      </c>
      <c r="H9" s="27"/>
      <c r="I9" s="28">
        <f t="shared" si="1"/>
        <v>880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/>
      <c r="I10" s="28">
        <f t="shared" si="1"/>
        <v>300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/>
      <c r="B11" s="27"/>
      <c r="C11" s="26"/>
      <c r="D11" s="26"/>
      <c r="E11" s="4"/>
      <c r="F11" s="26" t="s">
        <v>31</v>
      </c>
      <c r="G11" s="27">
        <v>360.0</v>
      </c>
      <c r="H11" s="27"/>
      <c r="I11" s="28">
        <f t="shared" si="1"/>
        <v>360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/>
      <c r="I12" s="28">
        <f t="shared" si="1"/>
        <v>320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/>
      <c r="I13" s="28">
        <f t="shared" si="1"/>
        <v>100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/>
      <c r="I14" s="28">
        <f t="shared" si="1"/>
        <v>1000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/>
      <c r="I15" s="28">
        <f t="shared" si="1"/>
        <v>30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/>
      <c r="I16" s="28">
        <f t="shared" si="1"/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/>
      <c r="I17" s="28">
        <f t="shared" si="1"/>
        <v>90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/>
      <c r="I19" s="28">
        <f t="shared" si="1"/>
        <v>400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/>
      <c r="I20" s="28">
        <f t="shared" si="1"/>
        <v>1000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G41</f>
        <v>1000</v>
      </c>
      <c r="H21" s="27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/>
      <c r="I22" s="28">
        <f t="shared" si="1"/>
        <v>110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91</v>
      </c>
      <c r="G23" s="27">
        <v>100.0</v>
      </c>
      <c r="H23" s="27"/>
      <c r="I23" s="27">
        <f t="shared" si="1"/>
        <v>100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124</v>
      </c>
      <c r="G24" s="27">
        <v>100.0</v>
      </c>
      <c r="H24" s="27"/>
      <c r="I24" s="28">
        <f t="shared" si="1"/>
        <v>100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6" t="s">
        <v>87</v>
      </c>
      <c r="G25" s="27">
        <v>500.0</v>
      </c>
      <c r="H25" s="27"/>
      <c r="I25" s="28">
        <f t="shared" si="1"/>
        <v>500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53</v>
      </c>
      <c r="G26" s="29">
        <f t="shared" ref="G26:H26" si="2">SUM(G8:G25)</f>
        <v>6710</v>
      </c>
      <c r="H26" s="29">
        <f t="shared" si="2"/>
        <v>0</v>
      </c>
      <c r="I26" s="29">
        <f>SUM(I9:I25)</f>
        <v>6710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5" t="s">
        <v>88</v>
      </c>
      <c r="G28" s="25" t="s">
        <v>13</v>
      </c>
      <c r="H28" s="25" t="s">
        <v>14</v>
      </c>
      <c r="I28" s="25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56</v>
      </c>
      <c r="G29" s="27">
        <v>50.0</v>
      </c>
      <c r="H29" s="27"/>
      <c r="I29" s="27">
        <f t="shared" ref="I29:I40" si="3">G29-H29</f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60</v>
      </c>
      <c r="G30" s="27">
        <v>50.0</v>
      </c>
      <c r="H30" s="27"/>
      <c r="I30" s="27">
        <f t="shared" si="3"/>
        <v>50</v>
      </c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63</v>
      </c>
      <c r="G31" s="27">
        <v>50.0</v>
      </c>
      <c r="H31" s="27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65</v>
      </c>
      <c r="G32" s="27">
        <v>50.0</v>
      </c>
      <c r="H32" s="27"/>
      <c r="I32" s="27">
        <f t="shared" si="3"/>
        <v>50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66</v>
      </c>
      <c r="G33" s="27">
        <v>100.0</v>
      </c>
      <c r="H33" s="27"/>
      <c r="I33" s="27">
        <f t="shared" si="3"/>
        <v>100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67</v>
      </c>
      <c r="G34" s="27">
        <v>100.0</v>
      </c>
      <c r="H34" s="27"/>
      <c r="I34" s="27">
        <f t="shared" si="3"/>
        <v>100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69</v>
      </c>
      <c r="G35" s="27">
        <v>50.0</v>
      </c>
      <c r="H35" s="27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70</v>
      </c>
      <c r="G36" s="27">
        <v>50.0</v>
      </c>
      <c r="H36" s="27"/>
      <c r="I36" s="27">
        <f t="shared" si="3"/>
        <v>50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114</v>
      </c>
      <c r="G37" s="27">
        <v>125.0</v>
      </c>
      <c r="H37" s="27"/>
      <c r="I37" s="27">
        <f t="shared" si="3"/>
        <v>125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114</v>
      </c>
      <c r="G38" s="27">
        <v>125.0</v>
      </c>
      <c r="H38" s="27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/>
      <c r="I39" s="27">
        <f t="shared" si="3"/>
        <v>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6" t="s">
        <v>52</v>
      </c>
      <c r="G40" s="27">
        <v>125.0</v>
      </c>
      <c r="H40" s="27"/>
      <c r="I40" s="27">
        <f t="shared" si="3"/>
        <v>125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25" t="s">
        <v>53</v>
      </c>
      <c r="G41" s="29">
        <f t="shared" ref="G41:I41" si="4">SUM(G29:G40)</f>
        <v>1000</v>
      </c>
      <c r="H41" s="29">
        <f t="shared" si="4"/>
        <v>0</v>
      </c>
      <c r="I41" s="29">
        <f t="shared" si="4"/>
        <v>1000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6"/>
      <c r="B46" s="27"/>
      <c r="C46" s="26"/>
      <c r="D46" s="2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0"/>
      <c r="B64" s="28"/>
      <c r="C64" s="30"/>
      <c r="D64" s="3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5" t="s">
        <v>53</v>
      </c>
      <c r="B65" s="29">
        <f>SUM(B9:B64)</f>
        <v>0</v>
      </c>
      <c r="C65" s="31"/>
      <c r="D65" s="3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5">
    <cfRule type="cellIs" dxfId="0" priority="1" operator="lessThan">
      <formula>0</formula>
    </cfRule>
  </conditionalFormatting>
  <conditionalFormatting sqref="I29:I40">
    <cfRule type="cellIs" dxfId="0" priority="2" operator="lessThan">
      <formula>0</formula>
    </cfRule>
  </conditionalFormatting>
  <conditionalFormatting sqref="I29:I40">
    <cfRule type="cellIs" dxfId="1" priority="3" operator="greaterThan">
      <formula>0</formula>
    </cfRule>
  </conditionalFormatting>
  <conditionalFormatting sqref="I8:I25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750.0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6500.0</v>
      </c>
      <c r="E4" s="10"/>
      <c r="F4" s="14" t="s">
        <v>6</v>
      </c>
      <c r="G4" s="15" t="s">
        <v>7</v>
      </c>
      <c r="H4" s="8"/>
      <c r="I4" s="16">
        <f>SUM(B65,H41,H26)</f>
        <v>8578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880.0</v>
      </c>
      <c r="E5" s="4"/>
      <c r="F5" s="19" t="s">
        <v>10</v>
      </c>
      <c r="G5" s="20"/>
      <c r="H5" s="8"/>
      <c r="I5" s="21">
        <f>D6-I4</f>
        <v>-448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8130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1200.0</v>
      </c>
      <c r="I8" s="28">
        <f t="shared" ref="I8:I25" si="1">G8-H8</f>
        <v>-1200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125</v>
      </c>
      <c r="B9" s="27">
        <v>200.0</v>
      </c>
      <c r="C9" s="26" t="s">
        <v>126</v>
      </c>
      <c r="D9" s="26" t="s">
        <v>89</v>
      </c>
      <c r="E9" s="4"/>
      <c r="F9" s="26" t="s">
        <v>24</v>
      </c>
      <c r="G9" s="27">
        <v>880.0</v>
      </c>
      <c r="H9" s="27">
        <v>900.0</v>
      </c>
      <c r="I9" s="28">
        <f t="shared" si="1"/>
        <v>-20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127</v>
      </c>
      <c r="B11" s="27"/>
      <c r="C11" s="26" t="s">
        <v>128</v>
      </c>
      <c r="D11" s="26"/>
      <c r="E11" s="4"/>
      <c r="F11" s="26" t="s">
        <v>31</v>
      </c>
      <c r="G11" s="27">
        <v>360.0</v>
      </c>
      <c r="H11" s="27">
        <v>450.0</v>
      </c>
      <c r="I11" s="28">
        <f t="shared" si="1"/>
        <v>-90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422.0</v>
      </c>
      <c r="I12" s="28">
        <f t="shared" si="1"/>
        <v>-102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1200.0</v>
      </c>
      <c r="I14" s="28">
        <f t="shared" si="1"/>
        <v>-200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36.0</v>
      </c>
      <c r="I15" s="28">
        <f t="shared" si="1"/>
        <v>-6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/>
      <c r="I16" s="28">
        <f t="shared" si="1"/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/>
      <c r="I17" s="28">
        <f t="shared" si="1"/>
        <v>90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/>
      <c r="I18" s="28">
        <f t="shared" si="1"/>
        <v>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480.0</v>
      </c>
      <c r="I19" s="28">
        <f t="shared" si="1"/>
        <v>-80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1000.0</v>
      </c>
      <c r="I20" s="28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G41</f>
        <v>1000</v>
      </c>
      <c r="H21" s="27">
        <v>2000.0</v>
      </c>
      <c r="I21" s="28">
        <f t="shared" si="1"/>
        <v>-1000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110.0</v>
      </c>
      <c r="I22" s="28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91</v>
      </c>
      <c r="G23" s="27">
        <v>100.0</v>
      </c>
      <c r="H23" s="27">
        <v>180.0</v>
      </c>
      <c r="I23" s="27">
        <f t="shared" si="1"/>
        <v>-80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124</v>
      </c>
      <c r="G24" s="27">
        <v>100.0</v>
      </c>
      <c r="H24" s="27"/>
      <c r="I24" s="28">
        <f t="shared" si="1"/>
        <v>100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6" t="s">
        <v>87</v>
      </c>
      <c r="G25" s="27">
        <v>500.0</v>
      </c>
      <c r="H25" s="27"/>
      <c r="I25" s="28">
        <f t="shared" si="1"/>
        <v>500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53</v>
      </c>
      <c r="G26" s="29">
        <f t="shared" ref="G26:H26" si="2">SUM(G8:G25)</f>
        <v>6710</v>
      </c>
      <c r="H26" s="29">
        <f t="shared" si="2"/>
        <v>8378</v>
      </c>
      <c r="I26" s="29">
        <f>SUM(I9:I25)</f>
        <v>-468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5" t="s">
        <v>88</v>
      </c>
      <c r="G28" s="25" t="s">
        <v>13</v>
      </c>
      <c r="H28" s="25" t="s">
        <v>14</v>
      </c>
      <c r="I28" s="25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56</v>
      </c>
      <c r="G29" s="27">
        <v>50.0</v>
      </c>
      <c r="H29" s="27"/>
      <c r="I29" s="27">
        <f t="shared" ref="I29:I40" si="3">G29-H29</f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60</v>
      </c>
      <c r="G30" s="27">
        <v>50.0</v>
      </c>
      <c r="H30" s="27"/>
      <c r="I30" s="27">
        <f t="shared" si="3"/>
        <v>50</v>
      </c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63</v>
      </c>
      <c r="G31" s="27">
        <v>50.0</v>
      </c>
      <c r="H31" s="27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65</v>
      </c>
      <c r="G32" s="27">
        <v>50.0</v>
      </c>
      <c r="H32" s="27"/>
      <c r="I32" s="27">
        <f t="shared" si="3"/>
        <v>50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66</v>
      </c>
      <c r="G33" s="27">
        <v>100.0</v>
      </c>
      <c r="H33" s="27"/>
      <c r="I33" s="27">
        <f t="shared" si="3"/>
        <v>100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67</v>
      </c>
      <c r="G34" s="27">
        <v>100.0</v>
      </c>
      <c r="H34" s="27"/>
      <c r="I34" s="27">
        <f t="shared" si="3"/>
        <v>100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69</v>
      </c>
      <c r="G35" s="27">
        <v>50.0</v>
      </c>
      <c r="H35" s="27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70</v>
      </c>
      <c r="G36" s="27">
        <v>50.0</v>
      </c>
      <c r="H36" s="27"/>
      <c r="I36" s="27">
        <f t="shared" si="3"/>
        <v>50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114</v>
      </c>
      <c r="G37" s="27">
        <v>125.0</v>
      </c>
      <c r="H37" s="27"/>
      <c r="I37" s="27">
        <f t="shared" si="3"/>
        <v>125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114</v>
      </c>
      <c r="G38" s="27">
        <v>125.0</v>
      </c>
      <c r="H38" s="27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/>
      <c r="I39" s="27">
        <f t="shared" si="3"/>
        <v>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6" t="s">
        <v>52</v>
      </c>
      <c r="G40" s="27">
        <v>125.0</v>
      </c>
      <c r="H40" s="27"/>
      <c r="I40" s="27">
        <f t="shared" si="3"/>
        <v>125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25" t="s">
        <v>53</v>
      </c>
      <c r="G41" s="29">
        <f t="shared" ref="G41:I41" si="4">SUM(G29:G40)</f>
        <v>1000</v>
      </c>
      <c r="H41" s="29">
        <f t="shared" si="4"/>
        <v>0</v>
      </c>
      <c r="I41" s="29">
        <f t="shared" si="4"/>
        <v>1000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6"/>
      <c r="B46" s="27"/>
      <c r="C46" s="26"/>
      <c r="D46" s="2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0"/>
      <c r="B64" s="28"/>
      <c r="C64" s="30"/>
      <c r="D64" s="3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5" t="s">
        <v>53</v>
      </c>
      <c r="B65" s="29">
        <f>SUM(B9:B64)</f>
        <v>200</v>
      </c>
      <c r="C65" s="31"/>
      <c r="D65" s="3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5">
    <cfRule type="cellIs" dxfId="0" priority="1" operator="lessThan">
      <formula>0</formula>
    </cfRule>
  </conditionalFormatting>
  <conditionalFormatting sqref="I29:I40">
    <cfRule type="cellIs" dxfId="0" priority="2" operator="lessThan">
      <formula>0</formula>
    </cfRule>
  </conditionalFormatting>
  <conditionalFormatting sqref="I29:I40">
    <cfRule type="cellIs" dxfId="1" priority="3" operator="greaterThan">
      <formula>0</formula>
    </cfRule>
  </conditionalFormatting>
  <conditionalFormatting sqref="I8:I25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0"/>
    <col customWidth="1" min="3" max="3" width="12.13"/>
    <col customWidth="1" min="4" max="4" width="11.5"/>
    <col customWidth="1" min="6" max="6" width="36.75"/>
    <col customWidth="1" min="7" max="7" width="14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8"/>
      <c r="D3" s="9">
        <v>1050.0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4</v>
      </c>
      <c r="C4" s="8"/>
      <c r="D4" s="13">
        <v>7400.0</v>
      </c>
      <c r="E4" s="10" t="s">
        <v>129</v>
      </c>
      <c r="F4" s="14" t="s">
        <v>6</v>
      </c>
      <c r="G4" s="15" t="s">
        <v>7</v>
      </c>
      <c r="H4" s="8"/>
      <c r="I4" s="16">
        <f>SUM(B65,H41,H26)</f>
        <v>7221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7" t="s">
        <v>8</v>
      </c>
      <c r="C5" s="8"/>
      <c r="D5" s="18">
        <v>817.0</v>
      </c>
      <c r="E5" s="4"/>
      <c r="F5" s="19" t="s">
        <v>10</v>
      </c>
      <c r="G5" s="20"/>
      <c r="H5" s="8"/>
      <c r="I5" s="21">
        <f>D6-I4</f>
        <v>2046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3" t="s">
        <v>11</v>
      </c>
      <c r="C6" s="8"/>
      <c r="D6" s="24">
        <f>SUM(D3:D5)</f>
        <v>9267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25" t="s">
        <v>12</v>
      </c>
      <c r="G7" s="25" t="s">
        <v>13</v>
      </c>
      <c r="H7" s="25" t="s">
        <v>14</v>
      </c>
      <c r="I7" s="25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16</v>
      </c>
      <c r="B8" s="25" t="s">
        <v>17</v>
      </c>
      <c r="C8" s="25" t="s">
        <v>18</v>
      </c>
      <c r="D8" s="25" t="s">
        <v>19</v>
      </c>
      <c r="E8" s="4"/>
      <c r="F8" s="26" t="s">
        <v>20</v>
      </c>
      <c r="G8" s="27">
        <v>0.0</v>
      </c>
      <c r="H8" s="27">
        <v>400.0</v>
      </c>
      <c r="I8" s="28">
        <f t="shared" ref="I8:I25" si="1">G8-H8</f>
        <v>-400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27"/>
      <c r="C9" s="26" t="s">
        <v>126</v>
      </c>
      <c r="D9" s="26" t="s">
        <v>89</v>
      </c>
      <c r="E9" s="4"/>
      <c r="F9" s="26" t="s">
        <v>24</v>
      </c>
      <c r="G9" s="27">
        <v>880.0</v>
      </c>
      <c r="H9" s="27">
        <v>880.0</v>
      </c>
      <c r="I9" s="28">
        <f t="shared" si="1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27"/>
      <c r="C10" s="26"/>
      <c r="D10" s="26"/>
      <c r="E10" s="4"/>
      <c r="F10" s="26" t="s">
        <v>28</v>
      </c>
      <c r="G10" s="27">
        <v>300.0</v>
      </c>
      <c r="H10" s="27">
        <v>300.0</v>
      </c>
      <c r="I10" s="28">
        <f t="shared" si="1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127</v>
      </c>
      <c r="B11" s="27"/>
      <c r="C11" s="26" t="s">
        <v>128</v>
      </c>
      <c r="D11" s="26"/>
      <c r="E11" s="4"/>
      <c r="F11" s="26" t="s">
        <v>31</v>
      </c>
      <c r="G11" s="27">
        <v>360.0</v>
      </c>
      <c r="H11" s="27">
        <v>392.0</v>
      </c>
      <c r="I11" s="28">
        <f t="shared" si="1"/>
        <v>-32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6"/>
      <c r="B12" s="27"/>
      <c r="C12" s="26"/>
      <c r="D12" s="26"/>
      <c r="E12" s="4"/>
      <c r="F12" s="26" t="s">
        <v>33</v>
      </c>
      <c r="G12" s="27">
        <v>320.0</v>
      </c>
      <c r="H12" s="27">
        <v>386.0</v>
      </c>
      <c r="I12" s="28">
        <f t="shared" si="1"/>
        <v>-66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/>
      <c r="B13" s="27"/>
      <c r="C13" s="26"/>
      <c r="D13" s="26"/>
      <c r="E13" s="4"/>
      <c r="F13" s="26" t="s">
        <v>34</v>
      </c>
      <c r="G13" s="27">
        <v>100.0</v>
      </c>
      <c r="H13" s="27">
        <v>100.0</v>
      </c>
      <c r="I13" s="28">
        <f t="shared" si="1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27"/>
      <c r="C14" s="26"/>
      <c r="D14" s="26"/>
      <c r="E14" s="4"/>
      <c r="F14" s="26" t="s">
        <v>36</v>
      </c>
      <c r="G14" s="27">
        <v>1000.0</v>
      </c>
      <c r="H14" s="27">
        <v>1700.0</v>
      </c>
      <c r="I14" s="28">
        <f t="shared" si="1"/>
        <v>-700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/>
      <c r="B15" s="27"/>
      <c r="C15" s="26"/>
      <c r="D15" s="26"/>
      <c r="E15" s="4"/>
      <c r="F15" s="26" t="s">
        <v>39</v>
      </c>
      <c r="G15" s="27">
        <v>30.0</v>
      </c>
      <c r="H15" s="27">
        <v>36.0</v>
      </c>
      <c r="I15" s="28">
        <f t="shared" si="1"/>
        <v>-6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6"/>
      <c r="B16" s="27"/>
      <c r="C16" s="26"/>
      <c r="D16" s="26"/>
      <c r="E16" s="4"/>
      <c r="F16" s="26" t="s">
        <v>40</v>
      </c>
      <c r="G16" s="27">
        <v>20.0</v>
      </c>
      <c r="H16" s="27">
        <v>20.0</v>
      </c>
      <c r="I16" s="28">
        <f t="shared" si="1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/>
      <c r="B17" s="27"/>
      <c r="C17" s="26"/>
      <c r="D17" s="26"/>
      <c r="E17" s="4"/>
      <c r="F17" s="26" t="s">
        <v>43</v>
      </c>
      <c r="G17" s="27">
        <v>90.0</v>
      </c>
      <c r="H17" s="27"/>
      <c r="I17" s="28">
        <f t="shared" si="1"/>
        <v>90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6"/>
      <c r="B18" s="27"/>
      <c r="C18" s="26"/>
      <c r="D18" s="26"/>
      <c r="E18" s="4"/>
      <c r="F18" s="26" t="s">
        <v>45</v>
      </c>
      <c r="G18" s="27">
        <v>400.0</v>
      </c>
      <c r="H18" s="27">
        <v>1400.0</v>
      </c>
      <c r="I18" s="28">
        <f t="shared" si="1"/>
        <v>-1000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/>
      <c r="B19" s="27"/>
      <c r="C19" s="26"/>
      <c r="D19" s="26"/>
      <c r="E19" s="4"/>
      <c r="F19" s="26" t="s">
        <v>47</v>
      </c>
      <c r="G19" s="27">
        <v>400.0</v>
      </c>
      <c r="H19" s="27">
        <v>360.0</v>
      </c>
      <c r="I19" s="28">
        <f t="shared" si="1"/>
        <v>40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27"/>
      <c r="C20" s="26"/>
      <c r="D20" s="26"/>
      <c r="E20" s="4"/>
      <c r="F20" s="26" t="s">
        <v>2</v>
      </c>
      <c r="G20" s="27">
        <v>1000.0</v>
      </c>
      <c r="H20" s="27">
        <v>1050.0</v>
      </c>
      <c r="I20" s="28">
        <f t="shared" si="1"/>
        <v>-50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/>
      <c r="B21" s="27"/>
      <c r="C21" s="26"/>
      <c r="D21" s="26"/>
      <c r="E21" s="4"/>
      <c r="F21" s="26" t="s">
        <v>48</v>
      </c>
      <c r="G21" s="27">
        <f>G41</f>
        <v>1000</v>
      </c>
      <c r="H21" s="27"/>
      <c r="I21" s="28">
        <f t="shared" si="1"/>
        <v>1000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27"/>
      <c r="C22" s="26"/>
      <c r="D22" s="26"/>
      <c r="E22" s="4"/>
      <c r="F22" s="26" t="s">
        <v>50</v>
      </c>
      <c r="G22" s="27">
        <v>110.0</v>
      </c>
      <c r="H22" s="27">
        <v>107.0</v>
      </c>
      <c r="I22" s="28">
        <f t="shared" si="1"/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27"/>
      <c r="C23" s="26"/>
      <c r="D23" s="26"/>
      <c r="E23" s="4"/>
      <c r="F23" s="26" t="s">
        <v>91</v>
      </c>
      <c r="G23" s="27">
        <v>100.0</v>
      </c>
      <c r="H23" s="27">
        <v>90.0</v>
      </c>
      <c r="I23" s="27">
        <f t="shared" si="1"/>
        <v>10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/>
      <c r="B24" s="27"/>
      <c r="C24" s="26"/>
      <c r="D24" s="26"/>
      <c r="E24" s="4"/>
      <c r="F24" s="26" t="s">
        <v>124</v>
      </c>
      <c r="G24" s="27">
        <v>100.0</v>
      </c>
      <c r="H24" s="27"/>
      <c r="I24" s="28">
        <f t="shared" si="1"/>
        <v>100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6"/>
      <c r="B25" s="27"/>
      <c r="C25" s="26"/>
      <c r="D25" s="26"/>
      <c r="E25" s="4"/>
      <c r="F25" s="26" t="s">
        <v>87</v>
      </c>
      <c r="G25" s="27">
        <v>500.0</v>
      </c>
      <c r="H25" s="27"/>
      <c r="I25" s="28">
        <f t="shared" si="1"/>
        <v>500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/>
      <c r="B26" s="27"/>
      <c r="C26" s="26"/>
      <c r="D26" s="26"/>
      <c r="E26" s="4"/>
      <c r="F26" s="25" t="s">
        <v>53</v>
      </c>
      <c r="G26" s="29">
        <f t="shared" ref="G26:H26" si="2">SUM(G8:G25)</f>
        <v>6710</v>
      </c>
      <c r="H26" s="29">
        <f t="shared" si="2"/>
        <v>7221</v>
      </c>
      <c r="I26" s="29">
        <f>SUM(I9:I25)</f>
        <v>-111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6"/>
      <c r="B27" s="27"/>
      <c r="C27" s="26"/>
      <c r="D27" s="2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/>
      <c r="C28" s="26"/>
      <c r="D28" s="26"/>
      <c r="E28" s="4"/>
      <c r="F28" s="25" t="s">
        <v>88</v>
      </c>
      <c r="G28" s="25" t="s">
        <v>13</v>
      </c>
      <c r="H28" s="25" t="s">
        <v>14</v>
      </c>
      <c r="I28" s="25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/>
      <c r="B29" s="27"/>
      <c r="C29" s="26"/>
      <c r="D29" s="26"/>
      <c r="E29" s="4"/>
      <c r="F29" s="26" t="s">
        <v>56</v>
      </c>
      <c r="G29" s="27">
        <v>50.0</v>
      </c>
      <c r="H29" s="27"/>
      <c r="I29" s="27">
        <f t="shared" ref="I29:I40" si="3">G29-H29</f>
        <v>50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/>
      <c r="B30" s="27"/>
      <c r="C30" s="26"/>
      <c r="D30" s="26"/>
      <c r="E30" s="4"/>
      <c r="F30" s="26" t="s">
        <v>60</v>
      </c>
      <c r="G30" s="27">
        <v>50.0</v>
      </c>
      <c r="H30" s="27"/>
      <c r="I30" s="27">
        <f t="shared" si="3"/>
        <v>50</v>
      </c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6"/>
      <c r="B31" s="27"/>
      <c r="C31" s="26"/>
      <c r="D31" s="26"/>
      <c r="E31" s="4"/>
      <c r="F31" s="26" t="s">
        <v>63</v>
      </c>
      <c r="G31" s="27">
        <v>50.0</v>
      </c>
      <c r="H31" s="27"/>
      <c r="I31" s="27">
        <f t="shared" si="3"/>
        <v>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27"/>
      <c r="C32" s="26"/>
      <c r="D32" s="26"/>
      <c r="E32" s="4"/>
      <c r="F32" s="26" t="s">
        <v>65</v>
      </c>
      <c r="G32" s="27">
        <v>50.0</v>
      </c>
      <c r="H32" s="27"/>
      <c r="I32" s="27">
        <f t="shared" si="3"/>
        <v>50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27"/>
      <c r="C33" s="26"/>
      <c r="D33" s="26"/>
      <c r="E33" s="4"/>
      <c r="F33" s="26" t="s">
        <v>66</v>
      </c>
      <c r="G33" s="27">
        <v>100.0</v>
      </c>
      <c r="H33" s="27"/>
      <c r="I33" s="27">
        <f t="shared" si="3"/>
        <v>100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6"/>
      <c r="B34" s="27"/>
      <c r="C34" s="26"/>
      <c r="D34" s="26"/>
      <c r="E34" s="4"/>
      <c r="F34" s="26" t="s">
        <v>67</v>
      </c>
      <c r="G34" s="27">
        <v>100.0</v>
      </c>
      <c r="H34" s="27"/>
      <c r="I34" s="27">
        <f t="shared" si="3"/>
        <v>100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6"/>
      <c r="B35" s="27"/>
      <c r="C35" s="26"/>
      <c r="D35" s="26"/>
      <c r="E35" s="4"/>
      <c r="F35" s="26" t="s">
        <v>69</v>
      </c>
      <c r="G35" s="27">
        <v>50.0</v>
      </c>
      <c r="H35" s="27"/>
      <c r="I35" s="27">
        <f t="shared" si="3"/>
        <v>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/>
      <c r="B36" s="27"/>
      <c r="C36" s="26"/>
      <c r="D36" s="26"/>
      <c r="E36" s="4"/>
      <c r="F36" s="26" t="s">
        <v>70</v>
      </c>
      <c r="G36" s="27">
        <v>50.0</v>
      </c>
      <c r="H36" s="27"/>
      <c r="I36" s="27">
        <f t="shared" si="3"/>
        <v>50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/>
      <c r="C37" s="26"/>
      <c r="D37" s="26"/>
      <c r="E37" s="4"/>
      <c r="F37" s="26" t="s">
        <v>114</v>
      </c>
      <c r="G37" s="27">
        <v>125.0</v>
      </c>
      <c r="H37" s="27"/>
      <c r="I37" s="27">
        <f t="shared" si="3"/>
        <v>125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/>
      <c r="B38" s="27"/>
      <c r="C38" s="26"/>
      <c r="D38" s="26"/>
      <c r="E38" s="4"/>
      <c r="F38" s="26" t="s">
        <v>114</v>
      </c>
      <c r="G38" s="27">
        <v>125.0</v>
      </c>
      <c r="H38" s="27"/>
      <c r="I38" s="27">
        <f t="shared" si="3"/>
        <v>125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6"/>
      <c r="B39" s="27"/>
      <c r="C39" s="26"/>
      <c r="D39" s="26"/>
      <c r="E39" s="4"/>
      <c r="F39" s="26" t="s">
        <v>52</v>
      </c>
      <c r="G39" s="27">
        <v>125.0</v>
      </c>
      <c r="H39" s="27"/>
      <c r="I39" s="27">
        <f t="shared" si="3"/>
        <v>125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6"/>
      <c r="B40" s="27"/>
      <c r="C40" s="26"/>
      <c r="D40" s="26"/>
      <c r="E40" s="4"/>
      <c r="F40" s="26" t="s">
        <v>52</v>
      </c>
      <c r="G40" s="27">
        <v>125.0</v>
      </c>
      <c r="H40" s="27"/>
      <c r="I40" s="27">
        <f t="shared" si="3"/>
        <v>125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/>
      <c r="B41" s="27"/>
      <c r="C41" s="26"/>
      <c r="D41" s="26"/>
      <c r="E41" s="4"/>
      <c r="F41" s="25" t="s">
        <v>53</v>
      </c>
      <c r="G41" s="29">
        <f t="shared" ref="G41:I41" si="4">SUM(G29:G40)</f>
        <v>1000</v>
      </c>
      <c r="H41" s="29">
        <f t="shared" si="4"/>
        <v>0</v>
      </c>
      <c r="I41" s="29">
        <f t="shared" si="4"/>
        <v>1000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27"/>
      <c r="C42" s="26"/>
      <c r="D42" s="2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27"/>
      <c r="C43" s="26"/>
      <c r="D43" s="2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/>
      <c r="B44" s="27"/>
      <c r="C44" s="26"/>
      <c r="D44" s="2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6"/>
      <c r="B45" s="27"/>
      <c r="C45" s="26"/>
      <c r="D45" s="2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6"/>
      <c r="B46" s="27"/>
      <c r="C46" s="26"/>
      <c r="D46" s="2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0"/>
      <c r="B47" s="28"/>
      <c r="C47" s="30"/>
      <c r="D47" s="3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/>
      <c r="B48" s="28"/>
      <c r="C48" s="30"/>
      <c r="D48" s="3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/>
      <c r="B49" s="28"/>
      <c r="C49" s="30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/>
      <c r="B50" s="28"/>
      <c r="C50" s="30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/>
      <c r="B51" s="28"/>
      <c r="C51" s="30"/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/>
      <c r="B52" s="28"/>
      <c r="C52" s="30"/>
      <c r="D52" s="3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/>
      <c r="B53" s="28"/>
      <c r="C53" s="30"/>
      <c r="D53" s="3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/>
      <c r="B54" s="28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/>
      <c r="B55" s="28"/>
      <c r="C55" s="30"/>
      <c r="D55" s="3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0"/>
      <c r="B56" s="28"/>
      <c r="C56" s="30"/>
      <c r="D56" s="3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0"/>
      <c r="B57" s="28"/>
      <c r="C57" s="30"/>
      <c r="D57" s="3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0"/>
      <c r="B58" s="28"/>
      <c r="C58" s="30"/>
      <c r="D58" s="3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0"/>
      <c r="B59" s="28"/>
      <c r="C59" s="30"/>
      <c r="D59" s="3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0"/>
      <c r="B60" s="28"/>
      <c r="C60" s="30"/>
      <c r="D60" s="3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0"/>
      <c r="B61" s="28"/>
      <c r="C61" s="30"/>
      <c r="D61" s="3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0"/>
      <c r="B62" s="28"/>
      <c r="C62" s="30"/>
      <c r="D62" s="3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0"/>
      <c r="B63" s="28"/>
      <c r="C63" s="30"/>
      <c r="D63" s="3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0"/>
      <c r="B64" s="28"/>
      <c r="C64" s="30"/>
      <c r="D64" s="3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5" t="s">
        <v>53</v>
      </c>
      <c r="B65" s="29">
        <f>SUM(B9:B64)</f>
        <v>0</v>
      </c>
      <c r="C65" s="31"/>
      <c r="D65" s="3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8">
    <mergeCell ref="A1:I1"/>
    <mergeCell ref="A3:A6"/>
    <mergeCell ref="B3:C3"/>
    <mergeCell ref="B4:C4"/>
    <mergeCell ref="G4:H4"/>
    <mergeCell ref="B5:C5"/>
    <mergeCell ref="F5:H5"/>
    <mergeCell ref="B6:C6"/>
  </mergeCells>
  <conditionalFormatting sqref="I8:I25">
    <cfRule type="cellIs" dxfId="0" priority="1" operator="lessThan">
      <formula>0</formula>
    </cfRule>
  </conditionalFormatting>
  <conditionalFormatting sqref="I29:I40">
    <cfRule type="cellIs" dxfId="0" priority="2" operator="lessThan">
      <formula>0</formula>
    </cfRule>
  </conditionalFormatting>
  <conditionalFormatting sqref="I29:I40">
    <cfRule type="cellIs" dxfId="1" priority="3" operator="greaterThan">
      <formula>0</formula>
    </cfRule>
  </conditionalFormatting>
  <conditionalFormatting sqref="I8:I25">
    <cfRule type="cellIs" dxfId="1" priority="4" operator="greaterThan">
      <formula>0</formula>
    </cfRule>
  </conditionalFormatting>
  <conditionalFormatting sqref="I5">
    <cfRule type="cellIs" dxfId="0" priority="5" operator="lessThan">
      <formula>0</formula>
    </cfRule>
  </conditionalFormatting>
  <conditionalFormatting sqref="I5">
    <cfRule type="cellIs" dxfId="1" priority="6" operator="greaterThan">
      <formula>0</formula>
    </cfRule>
  </conditionalFormatting>
  <drawing r:id="rId1"/>
</worksheet>
</file>